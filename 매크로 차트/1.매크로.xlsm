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2022년책작업\★2022년컴퓨터활용능력2급_한정수\교정작업\2차교정\문제및정답파일_20210426(강사용)\4.기타작업\"/>
    </mc:Choice>
  </mc:AlternateContent>
  <bookViews>
    <workbookView xWindow="0" yWindow="0" windowWidth="16200" windowHeight="24885"/>
  </bookViews>
  <sheets>
    <sheet name="매크로1" sheetId="2" r:id="rId1"/>
    <sheet name="매크로1(답)" sheetId="3" r:id="rId2"/>
    <sheet name="매크로2" sheetId="4" r:id="rId3"/>
    <sheet name="매크로2(답)" sheetId="5" r:id="rId4"/>
    <sheet name="매크로3" sheetId="6" r:id="rId5"/>
    <sheet name="매크로3(답)" sheetId="7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5" l="1"/>
  <c r="E6" i="5"/>
  <c r="E7" i="5"/>
  <c r="E8" i="5"/>
  <c r="E9" i="5"/>
  <c r="E10" i="5"/>
  <c r="E11" i="5"/>
  <c r="E4" i="5"/>
  <c r="E9" i="7" l="1"/>
  <c r="D9" i="7"/>
  <c r="C9" i="7"/>
  <c r="B9" i="7"/>
  <c r="H9" i="3" l="1"/>
  <c r="H8" i="3"/>
  <c r="H7" i="3"/>
  <c r="H6" i="3"/>
  <c r="H5" i="3"/>
  <c r="H4" i="3"/>
</calcChain>
</file>

<file path=xl/sharedStrings.xml><?xml version="1.0" encoding="utf-8"?>
<sst xmlns="http://schemas.openxmlformats.org/spreadsheetml/2006/main" count="106" uniqueCount="96">
  <si>
    <t>부서별 인사평가 결과</t>
    <phoneticPr fontId="1" type="noConversion"/>
  </si>
  <si>
    <t>사원명</t>
    <phoneticPr fontId="1" type="noConversion"/>
  </si>
  <si>
    <t>사원명</t>
    <phoneticPr fontId="1" type="noConversion"/>
  </si>
  <si>
    <t>부서명</t>
    <phoneticPr fontId="1" type="noConversion"/>
  </si>
  <si>
    <t>사원코드</t>
    <phoneticPr fontId="1" type="noConversion"/>
  </si>
  <si>
    <t>사원코드</t>
    <phoneticPr fontId="1" type="noConversion"/>
  </si>
  <si>
    <t>직무수행</t>
    <phoneticPr fontId="1" type="noConversion"/>
  </si>
  <si>
    <t>직무수행</t>
    <phoneticPr fontId="1" type="noConversion"/>
  </si>
  <si>
    <t>책임감</t>
    <phoneticPr fontId="1" type="noConversion"/>
  </si>
  <si>
    <t>이해력</t>
    <phoneticPr fontId="1" type="noConversion"/>
  </si>
  <si>
    <t>협동심</t>
    <phoneticPr fontId="1" type="noConversion"/>
  </si>
  <si>
    <t>총점</t>
    <phoneticPr fontId="1" type="noConversion"/>
  </si>
  <si>
    <t>강주호</t>
    <phoneticPr fontId="6" type="noConversion"/>
  </si>
  <si>
    <t>생산부</t>
    <phoneticPr fontId="1" type="noConversion"/>
  </si>
  <si>
    <t>생산부</t>
    <phoneticPr fontId="1" type="noConversion"/>
  </si>
  <si>
    <t>S-102</t>
  </si>
  <si>
    <t>권태형</t>
    <phoneticPr fontId="6" type="noConversion"/>
  </si>
  <si>
    <t>S-101</t>
    <phoneticPr fontId="1" type="noConversion"/>
  </si>
  <si>
    <t>이동기</t>
    <phoneticPr fontId="6" type="noConversion"/>
  </si>
  <si>
    <t>인사부</t>
    <phoneticPr fontId="1" type="noConversion"/>
  </si>
  <si>
    <t>인사부</t>
    <phoneticPr fontId="1" type="noConversion"/>
  </si>
  <si>
    <t>P-302</t>
  </si>
  <si>
    <t>이동묵</t>
    <phoneticPr fontId="6" type="noConversion"/>
  </si>
  <si>
    <t>영업부</t>
    <phoneticPr fontId="1" type="noConversion"/>
  </si>
  <si>
    <t>Y-402</t>
  </si>
  <si>
    <t>최창동</t>
    <phoneticPr fontId="1" type="noConversion"/>
  </si>
  <si>
    <t>Y-404</t>
  </si>
  <si>
    <t>한정수</t>
    <phoneticPr fontId="1" type="noConversion"/>
  </si>
  <si>
    <t>Y-403</t>
  </si>
  <si>
    <t>부서별 인사평가 결과</t>
    <phoneticPr fontId="1" type="noConversion"/>
  </si>
  <si>
    <t>부서명</t>
    <phoneticPr fontId="1" type="noConversion"/>
  </si>
  <si>
    <t>책임감</t>
    <phoneticPr fontId="1" type="noConversion"/>
  </si>
  <si>
    <t>이해력</t>
    <phoneticPr fontId="1" type="noConversion"/>
  </si>
  <si>
    <t>협동심</t>
    <phoneticPr fontId="1" type="noConversion"/>
  </si>
  <si>
    <t>총점</t>
    <phoneticPr fontId="1" type="noConversion"/>
  </si>
  <si>
    <t>강주호</t>
    <phoneticPr fontId="6" type="noConversion"/>
  </si>
  <si>
    <t>권태형</t>
    <phoneticPr fontId="6" type="noConversion"/>
  </si>
  <si>
    <t>생산부</t>
    <phoneticPr fontId="1" type="noConversion"/>
  </si>
  <si>
    <t>S-101</t>
    <phoneticPr fontId="1" type="noConversion"/>
  </si>
  <si>
    <t>이동기</t>
    <phoneticPr fontId="6" type="noConversion"/>
  </si>
  <si>
    <t>이동묵</t>
    <phoneticPr fontId="6" type="noConversion"/>
  </si>
  <si>
    <t>영업부</t>
    <phoneticPr fontId="1" type="noConversion"/>
  </si>
  <si>
    <t>최창동</t>
    <phoneticPr fontId="1" type="noConversion"/>
  </si>
  <si>
    <t>영업부</t>
    <phoneticPr fontId="1" type="noConversion"/>
  </si>
  <si>
    <t>한정수</t>
    <phoneticPr fontId="1" type="noConversion"/>
  </si>
  <si>
    <t>12월 카드 사용 내역</t>
    <phoneticPr fontId="6" type="noConversion"/>
  </si>
  <si>
    <t>사용일자</t>
    <phoneticPr fontId="1" type="noConversion"/>
  </si>
  <si>
    <t>이용가맹점</t>
    <phoneticPr fontId="1" type="noConversion"/>
  </si>
  <si>
    <t>사용금액</t>
    <phoneticPr fontId="6" type="noConversion"/>
  </si>
  <si>
    <t>할인금액</t>
    <phoneticPr fontId="1" type="noConversion"/>
  </si>
  <si>
    <t>결제금액</t>
    <phoneticPr fontId="1" type="noConversion"/>
  </si>
  <si>
    <t>엘마트</t>
    <phoneticPr fontId="1" type="noConversion"/>
  </si>
  <si>
    <t>제로마트</t>
    <phoneticPr fontId="1" type="noConversion"/>
  </si>
  <si>
    <t>상공의원</t>
    <phoneticPr fontId="1" type="noConversion"/>
  </si>
  <si>
    <t>서울주유소</t>
    <phoneticPr fontId="1" type="noConversion"/>
  </si>
  <si>
    <t>서울주유소</t>
    <phoneticPr fontId="1" type="noConversion"/>
  </si>
  <si>
    <t>한우마을</t>
    <phoneticPr fontId="1" type="noConversion"/>
  </si>
  <si>
    <t>믿음식당</t>
    <phoneticPr fontId="1" type="noConversion"/>
  </si>
  <si>
    <t>TV홈쇼핑</t>
    <phoneticPr fontId="1" type="noConversion"/>
  </si>
  <si>
    <t>사용일자</t>
    <phoneticPr fontId="1" type="noConversion"/>
  </si>
  <si>
    <t>이용가맹점</t>
    <phoneticPr fontId="1" type="noConversion"/>
  </si>
  <si>
    <t>사용금액</t>
    <phoneticPr fontId="6" type="noConversion"/>
  </si>
  <si>
    <t>할인금액</t>
    <phoneticPr fontId="1" type="noConversion"/>
  </si>
  <si>
    <t>결제금액</t>
    <phoneticPr fontId="1" type="noConversion"/>
  </si>
  <si>
    <t>엘마트</t>
    <phoneticPr fontId="1" type="noConversion"/>
  </si>
  <si>
    <t>상공의원</t>
    <phoneticPr fontId="1" type="noConversion"/>
  </si>
  <si>
    <t>서울주유소</t>
    <phoneticPr fontId="1" type="noConversion"/>
  </si>
  <si>
    <t>한우마을</t>
    <phoneticPr fontId="1" type="noConversion"/>
  </si>
  <si>
    <t>믿음식당</t>
    <phoneticPr fontId="1" type="noConversion"/>
  </si>
  <si>
    <t>서울주유소</t>
    <phoneticPr fontId="1" type="noConversion"/>
  </si>
  <si>
    <t>TV홈쇼핑</t>
    <phoneticPr fontId="1" type="noConversion"/>
  </si>
  <si>
    <t>성안출판사 판매실적</t>
    <phoneticPr fontId="6" type="noConversion"/>
  </si>
  <si>
    <t>구분</t>
    <phoneticPr fontId="6" type="noConversion"/>
  </si>
  <si>
    <t>1사분기</t>
    <phoneticPr fontId="6" type="noConversion"/>
  </si>
  <si>
    <t>2사분기</t>
    <phoneticPr fontId="6" type="noConversion"/>
  </si>
  <si>
    <t>3사분기</t>
    <phoneticPr fontId="6" type="noConversion"/>
  </si>
  <si>
    <t>4사분기</t>
    <phoneticPr fontId="6" type="noConversion"/>
  </si>
  <si>
    <t>온라인 서점</t>
    <phoneticPr fontId="6" type="noConversion"/>
  </si>
  <si>
    <t>대학교</t>
    <phoneticPr fontId="6" type="noConversion"/>
  </si>
  <si>
    <t>대형서점</t>
    <phoneticPr fontId="6" type="noConversion"/>
  </si>
  <si>
    <t>중형서점</t>
    <phoneticPr fontId="6" type="noConversion"/>
  </si>
  <si>
    <t>소형서점</t>
    <phoneticPr fontId="6" type="noConversion"/>
  </si>
  <si>
    <t>최대값</t>
    <phoneticPr fontId="6" type="noConversion"/>
  </si>
  <si>
    <t>성안출판사 판매실적</t>
    <phoneticPr fontId="6" type="noConversion"/>
  </si>
  <si>
    <t>구분</t>
    <phoneticPr fontId="6" type="noConversion"/>
  </si>
  <si>
    <t>1사분기</t>
    <phoneticPr fontId="6" type="noConversion"/>
  </si>
  <si>
    <t>2사분기</t>
    <phoneticPr fontId="6" type="noConversion"/>
  </si>
  <si>
    <t>3사분기</t>
    <phoneticPr fontId="6" type="noConversion"/>
  </si>
  <si>
    <t>4사분기</t>
    <phoneticPr fontId="6" type="noConversion"/>
  </si>
  <si>
    <t>온라인 서점</t>
    <phoneticPr fontId="6" type="noConversion"/>
  </si>
  <si>
    <t>대학교</t>
    <phoneticPr fontId="6" type="noConversion"/>
  </si>
  <si>
    <t>대형서점</t>
    <phoneticPr fontId="6" type="noConversion"/>
  </si>
  <si>
    <t>중형서점</t>
    <phoneticPr fontId="6" type="noConversion"/>
  </si>
  <si>
    <t>소형서점</t>
    <phoneticPr fontId="6" type="noConversion"/>
  </si>
  <si>
    <t>최대값</t>
    <phoneticPr fontId="6" type="noConversion"/>
  </si>
  <si>
    <t>12월 카드 사용 내역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</si>
</sst>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mm\/dd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6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4" fillId="2" borderId="1" xfId="2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41" fontId="0" fillId="0" borderId="0" xfId="1" applyFo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</cellXfs>
  <cellStyles count="3">
    <cellStyle name="강조색1" xfId="2" builtinId="29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16</xdr:col>
      <xdr:colOff>27971</xdr:colOff>
      <xdr:row>19</xdr:row>
      <xdr:rowOff>123364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172200" y="466725"/>
          <a:ext cx="4828571" cy="36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3</xdr:col>
      <xdr:colOff>0</xdr:colOff>
      <xdr:row>12</xdr:row>
      <xdr:rowOff>0</xdr:rowOff>
    </xdr:to>
    <xdr:sp macro="[0]!답_총점" textlink="">
      <xdr:nvSpPr>
        <xdr:cNvPr id="2" name="모서리가 둥근 직사각형 1"/>
        <xdr:cNvSpPr/>
      </xdr:nvSpPr>
      <xdr:spPr>
        <a:xfrm>
          <a:off x="685800" y="2143125"/>
          <a:ext cx="13716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셀스타일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</xdr:row>
      <xdr:rowOff>0</xdr:rowOff>
    </xdr:from>
    <xdr:to>
      <xdr:col>14</xdr:col>
      <xdr:colOff>389756</xdr:colOff>
      <xdr:row>16</xdr:row>
      <xdr:rowOff>152014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14875" y="466725"/>
          <a:ext cx="6152381" cy="3085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결제금액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[0]!답_채우기" textlink="">
      <xdr:nvSpPr>
        <xdr:cNvPr id="3" name="빗면 2"/>
        <xdr:cNvSpPr/>
      </xdr:nvSpPr>
      <xdr:spPr>
        <a:xfrm>
          <a:off x="4714875" y="1304925"/>
          <a:ext cx="96202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286520</xdr:colOff>
      <xdr:row>1</xdr:row>
      <xdr:rowOff>0</xdr:rowOff>
    </xdr:from>
    <xdr:to>
      <xdr:col>15</xdr:col>
      <xdr:colOff>0</xdr:colOff>
      <xdr:row>14</xdr:row>
      <xdr:rowOff>85725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</a14:imgLayer>
              </a14:imgProps>
            </a:ext>
          </a:extLst>
        </a:blip>
        <a:srcRect b="38147"/>
        <a:stretch/>
      </xdr:blipFill>
      <xdr:spPr>
        <a:xfrm>
          <a:off x="4687070" y="257175"/>
          <a:ext cx="6161905" cy="28098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7</xdr:col>
      <xdr:colOff>0</xdr:colOff>
      <xdr:row>4</xdr:row>
      <xdr:rowOff>0</xdr:rowOff>
    </xdr:to>
    <xdr:sp macro="[0]!답_최대값" textlink="">
      <xdr:nvSpPr>
        <xdr:cNvPr id="2" name="모서리가 둥근 직사각형 1"/>
        <xdr:cNvSpPr/>
      </xdr:nvSpPr>
      <xdr:spPr>
        <a:xfrm>
          <a:off x="4400550" y="466725"/>
          <a:ext cx="962025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최대값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[0]!답_테두리" textlink="">
      <xdr:nvSpPr>
        <xdr:cNvPr id="3" name="육각형 2"/>
        <xdr:cNvSpPr/>
      </xdr:nvSpPr>
      <xdr:spPr>
        <a:xfrm>
          <a:off x="4400550" y="1095375"/>
          <a:ext cx="962025" cy="4191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9"/>
  <sheetViews>
    <sheetView tabSelected="1" workbookViewId="0">
      <selection sqref="A1:H1"/>
    </sheetView>
  </sheetViews>
  <sheetFormatPr defaultRowHeight="16.5"/>
  <sheetData>
    <row r="1" spans="1:8" ht="20.25">
      <c r="A1" s="18" t="s">
        <v>0</v>
      </c>
      <c r="B1" s="18"/>
      <c r="C1" s="18"/>
      <c r="D1" s="18"/>
      <c r="E1" s="18"/>
      <c r="F1" s="18"/>
      <c r="G1" s="18"/>
      <c r="H1" s="18"/>
    </row>
    <row r="3" spans="1:8">
      <c r="A3" s="1" t="s">
        <v>2</v>
      </c>
      <c r="B3" s="1" t="s">
        <v>3</v>
      </c>
      <c r="C3" s="1" t="s">
        <v>5</v>
      </c>
      <c r="D3" s="1" t="s">
        <v>7</v>
      </c>
      <c r="E3" s="1" t="s">
        <v>8</v>
      </c>
      <c r="F3" s="1" t="s">
        <v>9</v>
      </c>
      <c r="G3" s="1" t="s">
        <v>10</v>
      </c>
      <c r="H3" s="1" t="s">
        <v>11</v>
      </c>
    </row>
    <row r="4" spans="1:8">
      <c r="A4" s="2" t="s">
        <v>12</v>
      </c>
      <c r="B4" s="1" t="s">
        <v>14</v>
      </c>
      <c r="C4" s="1" t="s">
        <v>15</v>
      </c>
      <c r="D4" s="1">
        <v>18</v>
      </c>
      <c r="E4" s="1">
        <v>18</v>
      </c>
      <c r="F4" s="1">
        <v>17</v>
      </c>
      <c r="G4" s="1">
        <v>17</v>
      </c>
      <c r="H4" s="1"/>
    </row>
    <row r="5" spans="1:8">
      <c r="A5" s="2" t="s">
        <v>16</v>
      </c>
      <c r="B5" s="1" t="s">
        <v>14</v>
      </c>
      <c r="C5" s="1" t="s">
        <v>17</v>
      </c>
      <c r="D5" s="1">
        <v>24</v>
      </c>
      <c r="E5" s="1">
        <v>18</v>
      </c>
      <c r="F5" s="1">
        <v>20</v>
      </c>
      <c r="G5" s="1">
        <v>21</v>
      </c>
      <c r="H5" s="1"/>
    </row>
    <row r="6" spans="1:8">
      <c r="A6" s="3" t="s">
        <v>18</v>
      </c>
      <c r="B6" s="1" t="s">
        <v>20</v>
      </c>
      <c r="C6" s="1" t="s">
        <v>21</v>
      </c>
      <c r="D6" s="1">
        <v>11</v>
      </c>
      <c r="E6" s="1">
        <v>12</v>
      </c>
      <c r="F6" s="1">
        <v>14</v>
      </c>
      <c r="G6" s="1">
        <v>13</v>
      </c>
      <c r="H6" s="1"/>
    </row>
    <row r="7" spans="1:8">
      <c r="A7" s="3" t="s">
        <v>22</v>
      </c>
      <c r="B7" s="1" t="s">
        <v>23</v>
      </c>
      <c r="C7" s="1" t="s">
        <v>24</v>
      </c>
      <c r="D7" s="1">
        <v>13</v>
      </c>
      <c r="E7" s="1">
        <v>20</v>
      </c>
      <c r="F7" s="1">
        <v>19</v>
      </c>
      <c r="G7" s="1">
        <v>15</v>
      </c>
      <c r="H7" s="1"/>
    </row>
    <row r="8" spans="1:8">
      <c r="A8" s="1" t="s">
        <v>25</v>
      </c>
      <c r="B8" s="1" t="s">
        <v>23</v>
      </c>
      <c r="C8" s="1" t="s">
        <v>26</v>
      </c>
      <c r="D8" s="1">
        <v>21</v>
      </c>
      <c r="E8" s="1">
        <v>16</v>
      </c>
      <c r="F8" s="1">
        <v>21</v>
      </c>
      <c r="G8" s="1">
        <v>21</v>
      </c>
      <c r="H8" s="1"/>
    </row>
    <row r="9" spans="1:8">
      <c r="A9" s="1" t="s">
        <v>27</v>
      </c>
      <c r="B9" s="1" t="s">
        <v>23</v>
      </c>
      <c r="C9" s="1" t="s">
        <v>28</v>
      </c>
      <c r="D9" s="1">
        <v>18</v>
      </c>
      <c r="E9" s="1">
        <v>18</v>
      </c>
      <c r="F9" s="1">
        <v>20</v>
      </c>
      <c r="G9" s="1">
        <v>24</v>
      </c>
      <c r="H9" s="1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H9"/>
  <sheetViews>
    <sheetView workbookViewId="0">
      <selection sqref="A1:H1"/>
    </sheetView>
  </sheetViews>
  <sheetFormatPr defaultRowHeight="16.5"/>
  <sheetData>
    <row r="1" spans="1:8" ht="20.25">
      <c r="A1" s="18" t="s">
        <v>29</v>
      </c>
      <c r="B1" s="18"/>
      <c r="C1" s="18"/>
      <c r="D1" s="18"/>
      <c r="E1" s="18"/>
      <c r="F1" s="18"/>
      <c r="G1" s="18"/>
      <c r="H1" s="18"/>
    </row>
    <row r="3" spans="1:8">
      <c r="A3" s="4" t="s">
        <v>1</v>
      </c>
      <c r="B3" s="4" t="s">
        <v>30</v>
      </c>
      <c r="C3" s="4" t="s">
        <v>4</v>
      </c>
      <c r="D3" s="4" t="s">
        <v>6</v>
      </c>
      <c r="E3" s="4" t="s">
        <v>31</v>
      </c>
      <c r="F3" s="4" t="s">
        <v>32</v>
      </c>
      <c r="G3" s="4" t="s">
        <v>33</v>
      </c>
      <c r="H3" s="4" t="s">
        <v>34</v>
      </c>
    </row>
    <row r="4" spans="1:8">
      <c r="A4" s="2" t="s">
        <v>35</v>
      </c>
      <c r="B4" s="1" t="s">
        <v>13</v>
      </c>
      <c r="C4" s="1" t="s">
        <v>15</v>
      </c>
      <c r="D4" s="1">
        <v>18</v>
      </c>
      <c r="E4" s="1">
        <v>18</v>
      </c>
      <c r="F4" s="1">
        <v>17</v>
      </c>
      <c r="G4" s="1">
        <v>17</v>
      </c>
      <c r="H4" s="1">
        <f t="shared" ref="H4:H9" si="0">SUM(D4:G4)</f>
        <v>70</v>
      </c>
    </row>
    <row r="5" spans="1:8">
      <c r="A5" s="2" t="s">
        <v>36</v>
      </c>
      <c r="B5" s="1" t="s">
        <v>37</v>
      </c>
      <c r="C5" s="1" t="s">
        <v>38</v>
      </c>
      <c r="D5" s="1">
        <v>24</v>
      </c>
      <c r="E5" s="1">
        <v>18</v>
      </c>
      <c r="F5" s="1">
        <v>20</v>
      </c>
      <c r="G5" s="1">
        <v>21</v>
      </c>
      <c r="H5" s="1">
        <f t="shared" si="0"/>
        <v>83</v>
      </c>
    </row>
    <row r="6" spans="1:8">
      <c r="A6" s="3" t="s">
        <v>39</v>
      </c>
      <c r="B6" s="1" t="s">
        <v>19</v>
      </c>
      <c r="C6" s="1" t="s">
        <v>21</v>
      </c>
      <c r="D6" s="1">
        <v>11</v>
      </c>
      <c r="E6" s="1">
        <v>12</v>
      </c>
      <c r="F6" s="1">
        <v>14</v>
      </c>
      <c r="G6" s="1">
        <v>13</v>
      </c>
      <c r="H6" s="1">
        <f t="shared" si="0"/>
        <v>50</v>
      </c>
    </row>
    <row r="7" spans="1:8">
      <c r="A7" s="3" t="s">
        <v>40</v>
      </c>
      <c r="B7" s="1" t="s">
        <v>41</v>
      </c>
      <c r="C7" s="1" t="s">
        <v>24</v>
      </c>
      <c r="D7" s="1">
        <v>13</v>
      </c>
      <c r="E7" s="1">
        <v>20</v>
      </c>
      <c r="F7" s="1">
        <v>19</v>
      </c>
      <c r="G7" s="1">
        <v>15</v>
      </c>
      <c r="H7" s="1">
        <f t="shared" si="0"/>
        <v>67</v>
      </c>
    </row>
    <row r="8" spans="1:8">
      <c r="A8" s="1" t="s">
        <v>42</v>
      </c>
      <c r="B8" s="1" t="s">
        <v>43</v>
      </c>
      <c r="C8" s="1" t="s">
        <v>26</v>
      </c>
      <c r="D8" s="1">
        <v>21</v>
      </c>
      <c r="E8" s="1">
        <v>16</v>
      </c>
      <c r="F8" s="1">
        <v>21</v>
      </c>
      <c r="G8" s="1">
        <v>21</v>
      </c>
      <c r="H8" s="1">
        <f t="shared" si="0"/>
        <v>79</v>
      </c>
    </row>
    <row r="9" spans="1:8">
      <c r="A9" s="1" t="s">
        <v>44</v>
      </c>
      <c r="B9" s="1" t="s">
        <v>41</v>
      </c>
      <c r="C9" s="1" t="s">
        <v>28</v>
      </c>
      <c r="D9" s="1">
        <v>18</v>
      </c>
      <c r="E9" s="1">
        <v>18</v>
      </c>
      <c r="F9" s="1">
        <v>20</v>
      </c>
      <c r="G9" s="1">
        <v>24</v>
      </c>
      <c r="H9" s="1">
        <f t="shared" si="0"/>
        <v>80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답_셀스타일">
                <anchor moveWithCells="1" siz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F17" sqref="F17"/>
    </sheetView>
  </sheetViews>
  <sheetFormatPr defaultRowHeight="16.5"/>
  <cols>
    <col min="2" max="2" width="13" bestFit="1" customWidth="1"/>
    <col min="3" max="3" width="10.875" bestFit="1" customWidth="1"/>
    <col min="4" max="4" width="9.125" bestFit="1" customWidth="1"/>
    <col min="5" max="5" width="10.875" bestFit="1" customWidth="1"/>
    <col min="7" max="7" width="12.625" customWidth="1"/>
  </cols>
  <sheetData>
    <row r="1" spans="1:5" ht="20.25">
      <c r="A1" s="18" t="s">
        <v>45</v>
      </c>
      <c r="B1" s="18"/>
      <c r="C1" s="18"/>
      <c r="D1" s="18"/>
      <c r="E1" s="18"/>
    </row>
    <row r="3" spans="1:5">
      <c r="A3" s="5" t="s">
        <v>46</v>
      </c>
      <c r="B3" s="6" t="s">
        <v>47</v>
      </c>
      <c r="C3" s="6" t="s">
        <v>48</v>
      </c>
      <c r="D3" s="6" t="s">
        <v>49</v>
      </c>
      <c r="E3" s="6" t="s">
        <v>50</v>
      </c>
    </row>
    <row r="4" spans="1:5">
      <c r="A4" s="7">
        <v>44538</v>
      </c>
      <c r="B4" s="1" t="s">
        <v>51</v>
      </c>
      <c r="C4" s="8">
        <v>99000</v>
      </c>
      <c r="D4" s="8">
        <v>5500</v>
      </c>
      <c r="E4" s="8"/>
    </row>
    <row r="5" spans="1:5">
      <c r="A5" s="7">
        <v>44540</v>
      </c>
      <c r="B5" s="1" t="s">
        <v>52</v>
      </c>
      <c r="C5" s="8">
        <v>1201000</v>
      </c>
      <c r="D5" s="8"/>
      <c r="E5" s="8"/>
    </row>
    <row r="6" spans="1:5">
      <c r="A6" s="7">
        <v>44542</v>
      </c>
      <c r="B6" s="1" t="s">
        <v>53</v>
      </c>
      <c r="C6" s="8">
        <v>5800</v>
      </c>
      <c r="D6" s="8"/>
      <c r="E6" s="8"/>
    </row>
    <row r="7" spans="1:5">
      <c r="A7" s="7">
        <v>44543</v>
      </c>
      <c r="B7" s="1" t="s">
        <v>55</v>
      </c>
      <c r="C7" s="8">
        <v>71000</v>
      </c>
      <c r="D7" s="8">
        <v>4000</v>
      </c>
      <c r="E7" s="8"/>
    </row>
    <row r="8" spans="1:5">
      <c r="A8" s="7">
        <v>44548</v>
      </c>
      <c r="B8" s="1" t="s">
        <v>56</v>
      </c>
      <c r="C8" s="8">
        <v>57000</v>
      </c>
      <c r="D8" s="8"/>
      <c r="E8" s="8"/>
    </row>
    <row r="9" spans="1:5">
      <c r="A9" s="7">
        <v>44551</v>
      </c>
      <c r="B9" s="1" t="s">
        <v>57</v>
      </c>
      <c r="C9" s="8">
        <v>100000</v>
      </c>
      <c r="D9" s="8">
        <v>10000</v>
      </c>
      <c r="E9" s="8"/>
    </row>
    <row r="10" spans="1:5">
      <c r="A10" s="7">
        <v>44555</v>
      </c>
      <c r="B10" s="1" t="s">
        <v>54</v>
      </c>
      <c r="C10" s="8">
        <v>81000</v>
      </c>
      <c r="D10" s="8">
        <v>3000</v>
      </c>
      <c r="E10" s="8"/>
    </row>
    <row r="11" spans="1:5">
      <c r="A11" s="7">
        <v>44559</v>
      </c>
      <c r="B11" s="1" t="s">
        <v>58</v>
      </c>
      <c r="C11" s="8">
        <v>181000</v>
      </c>
      <c r="D11" s="8">
        <v>6000</v>
      </c>
      <c r="E11" s="8"/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92D050"/>
  </sheetPr>
  <dimension ref="A1:E11"/>
  <sheetViews>
    <sheetView workbookViewId="0">
      <selection sqref="A1:E1"/>
    </sheetView>
  </sheetViews>
  <sheetFormatPr defaultRowHeight="16.5"/>
  <cols>
    <col min="2" max="2" width="13" bestFit="1" customWidth="1"/>
    <col min="3" max="3" width="10.875" bestFit="1" customWidth="1"/>
    <col min="4" max="4" width="9.125" bestFit="1" customWidth="1"/>
    <col min="5" max="5" width="10.875" bestFit="1" customWidth="1"/>
    <col min="7" max="7" width="12.625" customWidth="1"/>
  </cols>
  <sheetData>
    <row r="1" spans="1:5" ht="20.25">
      <c r="A1" s="18" t="s">
        <v>95</v>
      </c>
      <c r="B1" s="18"/>
      <c r="C1" s="18"/>
      <c r="D1" s="18"/>
      <c r="E1" s="18"/>
    </row>
    <row r="3" spans="1:5">
      <c r="A3" s="9" t="s">
        <v>59</v>
      </c>
      <c r="B3" s="10" t="s">
        <v>60</v>
      </c>
      <c r="C3" s="10" t="s">
        <v>61</v>
      </c>
      <c r="D3" s="10" t="s">
        <v>62</v>
      </c>
      <c r="E3" s="10" t="s">
        <v>63</v>
      </c>
    </row>
    <row r="4" spans="1:5">
      <c r="A4" s="7">
        <v>44538</v>
      </c>
      <c r="B4" s="1" t="s">
        <v>64</v>
      </c>
      <c r="C4" s="8">
        <v>99000</v>
      </c>
      <c r="D4" s="8">
        <v>5500</v>
      </c>
      <c r="E4" s="8">
        <f>C4-D4</f>
        <v>93500</v>
      </c>
    </row>
    <row r="5" spans="1:5">
      <c r="A5" s="7">
        <v>44540</v>
      </c>
      <c r="B5" s="1" t="s">
        <v>52</v>
      </c>
      <c r="C5" s="8">
        <v>1201000</v>
      </c>
      <c r="D5" s="8"/>
      <c r="E5" s="8">
        <f t="shared" ref="E5:E11" si="0">C5-D5</f>
        <v>1201000</v>
      </c>
    </row>
    <row r="6" spans="1:5">
      <c r="A6" s="7">
        <v>44542</v>
      </c>
      <c r="B6" s="1" t="s">
        <v>65</v>
      </c>
      <c r="C6" s="8">
        <v>5800</v>
      </c>
      <c r="D6" s="8"/>
      <c r="E6" s="8">
        <f t="shared" si="0"/>
        <v>5800</v>
      </c>
    </row>
    <row r="7" spans="1:5">
      <c r="A7" s="7">
        <v>44543</v>
      </c>
      <c r="B7" s="1" t="s">
        <v>66</v>
      </c>
      <c r="C7" s="8">
        <v>71000</v>
      </c>
      <c r="D7" s="8">
        <v>4000</v>
      </c>
      <c r="E7" s="8">
        <f t="shared" si="0"/>
        <v>67000</v>
      </c>
    </row>
    <row r="8" spans="1:5">
      <c r="A8" s="7">
        <v>44548</v>
      </c>
      <c r="B8" s="1" t="s">
        <v>67</v>
      </c>
      <c r="C8" s="8">
        <v>57000</v>
      </c>
      <c r="D8" s="8"/>
      <c r="E8" s="8">
        <f t="shared" si="0"/>
        <v>57000</v>
      </c>
    </row>
    <row r="9" spans="1:5">
      <c r="A9" s="7">
        <v>44551</v>
      </c>
      <c r="B9" s="1" t="s">
        <v>68</v>
      </c>
      <c r="C9" s="8">
        <v>100000</v>
      </c>
      <c r="D9" s="8">
        <v>10000</v>
      </c>
      <c r="E9" s="8">
        <f t="shared" si="0"/>
        <v>90000</v>
      </c>
    </row>
    <row r="10" spans="1:5">
      <c r="A10" s="7">
        <v>44555</v>
      </c>
      <c r="B10" s="1" t="s">
        <v>69</v>
      </c>
      <c r="C10" s="8">
        <v>81000</v>
      </c>
      <c r="D10" s="8">
        <v>3000</v>
      </c>
      <c r="E10" s="8">
        <f t="shared" si="0"/>
        <v>78000</v>
      </c>
    </row>
    <row r="11" spans="1:5">
      <c r="A11" s="7">
        <v>44559</v>
      </c>
      <c r="B11" s="1" t="s">
        <v>70</v>
      </c>
      <c r="C11" s="8">
        <v>181000</v>
      </c>
      <c r="D11" s="8">
        <v>6000</v>
      </c>
      <c r="E11" s="8">
        <f t="shared" si="0"/>
        <v>175000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답_결제금액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9"/>
  <sheetViews>
    <sheetView workbookViewId="0">
      <selection sqref="A1:E1"/>
    </sheetView>
  </sheetViews>
  <sheetFormatPr defaultRowHeight="16.5"/>
  <cols>
    <col min="1" max="1" width="11.625" bestFit="1" customWidth="1"/>
    <col min="2" max="5" width="10.5" customWidth="1"/>
    <col min="6" max="6" width="4.125" customWidth="1"/>
    <col min="7" max="7" width="12.625" customWidth="1"/>
  </cols>
  <sheetData>
    <row r="1" spans="1:5" ht="20.25">
      <c r="A1" s="19" t="s">
        <v>71</v>
      </c>
      <c r="B1" s="19"/>
      <c r="C1" s="19"/>
      <c r="D1" s="19"/>
      <c r="E1" s="19"/>
    </row>
    <row r="3" spans="1:5">
      <c r="A3" s="11" t="s">
        <v>72</v>
      </c>
      <c r="B3" s="11" t="s">
        <v>73</v>
      </c>
      <c r="C3" s="11" t="s">
        <v>74</v>
      </c>
      <c r="D3" s="11" t="s">
        <v>75</v>
      </c>
      <c r="E3" s="12" t="s">
        <v>76</v>
      </c>
    </row>
    <row r="4" spans="1:5">
      <c r="A4" s="11" t="s">
        <v>77</v>
      </c>
      <c r="B4" s="13">
        <v>92733</v>
      </c>
      <c r="C4" s="13">
        <v>83345</v>
      </c>
      <c r="D4" s="13">
        <v>76753</v>
      </c>
      <c r="E4" s="13">
        <v>9388</v>
      </c>
    </row>
    <row r="5" spans="1:5">
      <c r="A5" s="11" t="s">
        <v>78</v>
      </c>
      <c r="B5" s="13">
        <v>66191</v>
      </c>
      <c r="C5" s="13">
        <v>60400</v>
      </c>
      <c r="D5" s="13">
        <v>54283</v>
      </c>
      <c r="E5" s="13">
        <v>5791</v>
      </c>
    </row>
    <row r="6" spans="1:5">
      <c r="A6" s="11" t="s">
        <v>79</v>
      </c>
      <c r="B6" s="13">
        <v>22053</v>
      </c>
      <c r="C6" s="13">
        <v>19102</v>
      </c>
      <c r="D6" s="13">
        <v>19179</v>
      </c>
      <c r="E6" s="13">
        <v>2951</v>
      </c>
    </row>
    <row r="7" spans="1:5">
      <c r="A7" s="11" t="s">
        <v>80</v>
      </c>
      <c r="B7" s="13">
        <v>2390</v>
      </c>
      <c r="C7" s="13">
        <v>1720</v>
      </c>
      <c r="D7" s="13">
        <v>2171</v>
      </c>
      <c r="E7" s="13">
        <v>670</v>
      </c>
    </row>
    <row r="8" spans="1:5">
      <c r="A8" s="11" t="s">
        <v>81</v>
      </c>
      <c r="B8" s="13">
        <v>4489</v>
      </c>
      <c r="C8" s="13">
        <v>3842</v>
      </c>
      <c r="D8" s="13">
        <v>3291</v>
      </c>
      <c r="E8" s="13">
        <v>647</v>
      </c>
    </row>
    <row r="9" spans="1:5">
      <c r="A9" s="14" t="s">
        <v>82</v>
      </c>
      <c r="B9" s="11"/>
      <c r="C9" s="11"/>
      <c r="D9" s="11"/>
      <c r="E9" s="11"/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E9"/>
  <sheetViews>
    <sheetView workbookViewId="0">
      <selection sqref="A1:E1"/>
    </sheetView>
  </sheetViews>
  <sheetFormatPr defaultRowHeight="16.5"/>
  <cols>
    <col min="1" max="1" width="11.625" bestFit="1" customWidth="1"/>
    <col min="2" max="5" width="10.5" customWidth="1"/>
    <col min="6" max="6" width="4.125" customWidth="1"/>
    <col min="7" max="7" width="12.625" customWidth="1"/>
  </cols>
  <sheetData>
    <row r="1" spans="1:5" ht="20.25">
      <c r="A1" s="19" t="s">
        <v>83</v>
      </c>
      <c r="B1" s="19"/>
      <c r="C1" s="19"/>
      <c r="D1" s="19"/>
      <c r="E1" s="19"/>
    </row>
    <row r="3" spans="1:5">
      <c r="A3" s="1" t="s">
        <v>84</v>
      </c>
      <c r="B3" s="1" t="s">
        <v>85</v>
      </c>
      <c r="C3" s="1" t="s">
        <v>86</v>
      </c>
      <c r="D3" s="1" t="s">
        <v>87</v>
      </c>
      <c r="E3" s="15" t="s">
        <v>88</v>
      </c>
    </row>
    <row r="4" spans="1:5">
      <c r="A4" s="1" t="s">
        <v>89</v>
      </c>
      <c r="B4" s="8">
        <v>92733</v>
      </c>
      <c r="C4" s="8">
        <v>83345</v>
      </c>
      <c r="D4" s="8">
        <v>76753</v>
      </c>
      <c r="E4" s="8">
        <v>9388</v>
      </c>
    </row>
    <row r="5" spans="1:5">
      <c r="A5" s="1" t="s">
        <v>90</v>
      </c>
      <c r="B5" s="8">
        <v>66191</v>
      </c>
      <c r="C5" s="8">
        <v>60400</v>
      </c>
      <c r="D5" s="8">
        <v>54283</v>
      </c>
      <c r="E5" s="8">
        <v>5791</v>
      </c>
    </row>
    <row r="6" spans="1:5">
      <c r="A6" s="1" t="s">
        <v>91</v>
      </c>
      <c r="B6" s="8">
        <v>22053</v>
      </c>
      <c r="C6" s="8">
        <v>19102</v>
      </c>
      <c r="D6" s="8">
        <v>19179</v>
      </c>
      <c r="E6" s="8">
        <v>2951</v>
      </c>
    </row>
    <row r="7" spans="1:5">
      <c r="A7" s="1" t="s">
        <v>92</v>
      </c>
      <c r="B7" s="8">
        <v>2390</v>
      </c>
      <c r="C7" s="8">
        <v>1720</v>
      </c>
      <c r="D7" s="8">
        <v>2171</v>
      </c>
      <c r="E7" s="8">
        <v>670</v>
      </c>
    </row>
    <row r="8" spans="1:5">
      <c r="A8" s="1" t="s">
        <v>93</v>
      </c>
      <c r="B8" s="8">
        <v>4489</v>
      </c>
      <c r="C8" s="8">
        <v>3842</v>
      </c>
      <c r="D8" s="8">
        <v>3291</v>
      </c>
      <c r="E8" s="8">
        <v>647</v>
      </c>
    </row>
    <row r="9" spans="1:5">
      <c r="A9" s="16" t="s">
        <v>94</v>
      </c>
      <c r="B9" s="17">
        <f>MAX(B4:B8)</f>
        <v>92733</v>
      </c>
      <c r="C9" s="17">
        <f>MAX(C4:C8)</f>
        <v>83345</v>
      </c>
      <c r="D9" s="17">
        <f>MAX(D4:D8)</f>
        <v>76753</v>
      </c>
      <c r="E9" s="17">
        <f>MAX(E4:E8)</f>
        <v>9388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매크로1</vt:lpstr>
      <vt:lpstr>매크로1(답)</vt:lpstr>
      <vt:lpstr>매크로2</vt:lpstr>
      <vt:lpstr>매크로2(답)</vt:lpstr>
      <vt:lpstr>매크로3</vt:lpstr>
      <vt:lpstr>매크로3(답)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한정수</dc:creator>
  <cp:lastModifiedBy>한정수</cp:lastModifiedBy>
  <dcterms:created xsi:type="dcterms:W3CDTF">2021-03-21T04:50:25Z</dcterms:created>
  <dcterms:modified xsi:type="dcterms:W3CDTF">2021-05-17T12:19:21Z</dcterms:modified>
</cp:coreProperties>
</file>