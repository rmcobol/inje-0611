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2\제04회 실전모의고사\"/>
    </mc:Choice>
  </mc:AlternateContent>
  <xr:revisionPtr revIDLastSave="0" documentId="13_ncr:1_{1407E60E-113D-42EB-A5FE-A303CA84D9F9}" xr6:coauthVersionLast="47" xr6:coauthVersionMax="47" xr10:uidLastSave="{00000000-0000-0000-0000-000000000000}"/>
  <bookViews>
    <workbookView xWindow="11460" yWindow="1965" windowWidth="15390" windowHeight="12690" xr2:uid="{00000000-000D-0000-FFFF-FFFF00000000}"/>
  </bookViews>
  <sheets>
    <sheet name="기본작업-1" sheetId="1" r:id="rId1"/>
    <sheet name="기본작업-2" sheetId="2" r:id="rId2"/>
    <sheet name="기본작업-3" sheetId="10" r:id="rId3"/>
    <sheet name="계산작업" sheetId="4" r:id="rId4"/>
    <sheet name="분석작업-1" sheetId="11" r:id="rId5"/>
    <sheet name="분석작업-2" sheetId="6" r:id="rId6"/>
    <sheet name="매크로작업" sheetId="7" r:id="rId7"/>
    <sheet name="차트작업" sheetId="8" r:id="rId8"/>
  </sheets>
  <calcPr calcId="191029"/>
  <pivotCaches>
    <pivotCache cacheId="2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7" l="1"/>
  <c r="F15" i="7"/>
  <c r="D15" i="7"/>
  <c r="G17" i="6"/>
  <c r="G13" i="6"/>
  <c r="G8" i="6"/>
  <c r="G19" i="6" s="1"/>
  <c r="D18" i="6"/>
  <c r="D14" i="6"/>
  <c r="D9" i="6"/>
  <c r="D20" i="6" s="1"/>
  <c r="L16" i="4" l="1"/>
  <c r="F5" i="4"/>
  <c r="F6" i="4"/>
  <c r="F7" i="4"/>
  <c r="F8" i="4"/>
  <c r="F9" i="4"/>
  <c r="F10" i="4"/>
  <c r="F11" i="4"/>
  <c r="F4" i="4"/>
  <c r="F3" i="4"/>
  <c r="H15" i="11" l="1"/>
  <c r="H14" i="11"/>
  <c r="H13" i="11"/>
  <c r="H12" i="11"/>
  <c r="H11" i="11"/>
  <c r="H10" i="11"/>
  <c r="H9" i="11"/>
  <c r="H8" i="11"/>
  <c r="H7" i="11"/>
  <c r="H6" i="11"/>
  <c r="H5" i="11"/>
  <c r="H4" i="11"/>
  <c r="H30" i="4" l="1"/>
  <c r="F20" i="4"/>
  <c r="F21" i="4"/>
  <c r="F22" i="4"/>
  <c r="F23" i="4"/>
  <c r="F24" i="4"/>
  <c r="F25" i="4"/>
  <c r="F26" i="4"/>
  <c r="F19" i="4"/>
  <c r="L4" i="4"/>
  <c r="L5" i="4"/>
  <c r="L6" i="4"/>
  <c r="L7" i="4"/>
  <c r="L8" i="4"/>
  <c r="L9" i="4"/>
  <c r="L10" i="4"/>
  <c r="L11" i="4"/>
  <c r="L3" i="4"/>
  <c r="D14" i="4"/>
  <c r="E10" i="8" l="1"/>
  <c r="E9" i="8"/>
  <c r="E8" i="8"/>
  <c r="E7" i="8"/>
  <c r="E6" i="8"/>
  <c r="E5" i="8"/>
  <c r="E4" i="8"/>
  <c r="F14" i="7"/>
  <c r="F13" i="7"/>
  <c r="F12" i="7"/>
  <c r="F11" i="7"/>
  <c r="F10" i="7"/>
  <c r="F9" i="7"/>
  <c r="F8" i="7"/>
  <c r="F7" i="7"/>
  <c r="F6" i="7"/>
  <c r="F5" i="7"/>
  <c r="F4" i="7"/>
</calcChain>
</file>

<file path=xl/sharedStrings.xml><?xml version="1.0" encoding="utf-8"?>
<sst xmlns="http://schemas.openxmlformats.org/spreadsheetml/2006/main" count="516" uniqueCount="309">
  <si>
    <t>[표1]</t>
    <phoneticPr fontId="1" type="noConversion"/>
  </si>
  <si>
    <t>[표3]</t>
    <phoneticPr fontId="1" type="noConversion"/>
  </si>
  <si>
    <t>[표4]</t>
    <phoneticPr fontId="1" type="noConversion"/>
  </si>
  <si>
    <t>[표5]</t>
    <phoneticPr fontId="1" type="noConversion"/>
  </si>
  <si>
    <t>성명</t>
    <phoneticPr fontId="3" type="noConversion"/>
  </si>
  <si>
    <t>사원명</t>
    <phoneticPr fontId="3" type="noConversion"/>
  </si>
  <si>
    <t>부서</t>
    <phoneticPr fontId="1" type="noConversion"/>
  </si>
  <si>
    <t>학력</t>
    <phoneticPr fontId="1" type="noConversion"/>
  </si>
  <si>
    <t>성별</t>
    <phoneticPr fontId="1" type="noConversion"/>
  </si>
  <si>
    <t>직책</t>
    <phoneticPr fontId="1" type="noConversion"/>
  </si>
  <si>
    <t>입사년도</t>
    <phoneticPr fontId="1" type="noConversion"/>
  </si>
  <si>
    <t>위치</t>
    <phoneticPr fontId="3" type="noConversion"/>
  </si>
  <si>
    <t>아파트명</t>
    <phoneticPr fontId="3" type="noConversion"/>
  </si>
  <si>
    <t>구분</t>
    <phoneticPr fontId="3" type="noConversion"/>
  </si>
  <si>
    <t>세대수</t>
    <phoneticPr fontId="3" type="noConversion"/>
  </si>
  <si>
    <t>서울</t>
    <phoneticPr fontId="1" type="noConversion"/>
  </si>
  <si>
    <t>경기</t>
    <phoneticPr fontId="1" type="noConversion"/>
  </si>
  <si>
    <t>인천</t>
    <phoneticPr fontId="1" type="noConversion"/>
  </si>
  <si>
    <t>대전</t>
    <phoneticPr fontId="1" type="noConversion"/>
  </si>
  <si>
    <t>입주일</t>
    <phoneticPr fontId="1" type="noConversion"/>
  </si>
  <si>
    <t>임대</t>
    <phoneticPr fontId="1" type="noConversion"/>
  </si>
  <si>
    <t>LH</t>
    <phoneticPr fontId="1" type="noConversion"/>
  </si>
  <si>
    <t>자이야</t>
    <phoneticPr fontId="1" type="noConversion"/>
  </si>
  <si>
    <t>푸르자나</t>
    <phoneticPr fontId="1" type="noConversion"/>
  </si>
  <si>
    <t>좀편한세상</t>
    <phoneticPr fontId="1" type="noConversion"/>
  </si>
  <si>
    <t>아이파크</t>
    <phoneticPr fontId="1" type="noConversion"/>
  </si>
  <si>
    <t>일반</t>
    <phoneticPr fontId="1" type="noConversion"/>
  </si>
  <si>
    <t>전용면적</t>
    <phoneticPr fontId="3" type="noConversion"/>
  </si>
  <si>
    <t>148㎡</t>
    <phoneticPr fontId="1" type="noConversion"/>
  </si>
  <si>
    <t>85㎡</t>
    <phoneticPr fontId="1" type="noConversion"/>
  </si>
  <si>
    <t>101㎡</t>
    <phoneticPr fontId="1" type="noConversion"/>
  </si>
  <si>
    <t>분양가(3.3㎡당)</t>
    <phoneticPr fontId="3" type="noConversion"/>
  </si>
  <si>
    <t>서울</t>
    <phoneticPr fontId="1" type="noConversion"/>
  </si>
  <si>
    <t>제품명</t>
    <phoneticPr fontId="1" type="noConversion"/>
  </si>
  <si>
    <t>대리점</t>
    <phoneticPr fontId="3" type="noConversion"/>
  </si>
  <si>
    <t>판매량</t>
    <phoneticPr fontId="3" type="noConversion"/>
  </si>
  <si>
    <t>재고량</t>
    <phoneticPr fontId="1" type="noConversion"/>
  </si>
  <si>
    <t>컴퓨터</t>
    <phoneticPr fontId="1" type="noConversion"/>
  </si>
  <si>
    <t>냉장고</t>
    <phoneticPr fontId="1" type="noConversion"/>
  </si>
  <si>
    <t>세탁기</t>
    <phoneticPr fontId="1" type="noConversion"/>
  </si>
  <si>
    <t>총판매액</t>
    <phoneticPr fontId="3" type="noConversion"/>
  </si>
  <si>
    <t>마포</t>
    <phoneticPr fontId="1" type="noConversion"/>
  </si>
  <si>
    <t>강남</t>
    <phoneticPr fontId="1" type="noConversion"/>
  </si>
  <si>
    <t>노원</t>
    <phoneticPr fontId="1" type="noConversion"/>
  </si>
  <si>
    <t>[판매가표]</t>
    <phoneticPr fontId="1" type="noConversion"/>
  </si>
  <si>
    <t>판매가</t>
    <phoneticPr fontId="1" type="noConversion"/>
  </si>
  <si>
    <t>[표2]</t>
    <phoneticPr fontId="1" type="noConversion"/>
  </si>
  <si>
    <t>성명</t>
    <phoneticPr fontId="1" type="noConversion"/>
  </si>
  <si>
    <t>국어</t>
    <phoneticPr fontId="3" type="noConversion"/>
  </si>
  <si>
    <t>영어</t>
    <phoneticPr fontId="3" type="noConversion"/>
  </si>
  <si>
    <t>수학</t>
    <phoneticPr fontId="1" type="noConversion"/>
  </si>
  <si>
    <t>이용해</t>
    <phoneticPr fontId="1" type="noConversion"/>
  </si>
  <si>
    <t>왕고집</t>
    <phoneticPr fontId="1" type="noConversion"/>
  </si>
  <si>
    <t>안면상</t>
    <phoneticPr fontId="1" type="noConversion"/>
  </si>
  <si>
    <t>경운기</t>
    <phoneticPr fontId="1" type="noConversion"/>
  </si>
  <si>
    <t>김치국</t>
    <phoneticPr fontId="1" type="noConversion"/>
  </si>
  <si>
    <t>오지람</t>
    <phoneticPr fontId="1" type="noConversion"/>
  </si>
  <si>
    <t>최고운</t>
    <phoneticPr fontId="1" type="noConversion"/>
  </si>
  <si>
    <t>남달리</t>
    <phoneticPr fontId="1" type="noConversion"/>
  </si>
  <si>
    <t>오심판</t>
    <phoneticPr fontId="1" type="noConversion"/>
  </si>
  <si>
    <t>총점</t>
    <phoneticPr fontId="1" type="noConversion"/>
  </si>
  <si>
    <t>성별</t>
    <phoneticPr fontId="1" type="noConversion"/>
  </si>
  <si>
    <t>여</t>
    <phoneticPr fontId="1" type="noConversion"/>
  </si>
  <si>
    <t>남</t>
    <phoneticPr fontId="1" type="noConversion"/>
  </si>
  <si>
    <t>조건에 맞는 학생의 총점 평균</t>
    <phoneticPr fontId="1" type="noConversion"/>
  </si>
  <si>
    <t>도서코드</t>
    <phoneticPr fontId="1" type="noConversion"/>
  </si>
  <si>
    <t>구분</t>
    <phoneticPr fontId="1" type="noConversion"/>
  </si>
  <si>
    <t>1월</t>
    <phoneticPr fontId="1" type="noConversion"/>
  </si>
  <si>
    <t>2월</t>
  </si>
  <si>
    <t>2월</t>
    <phoneticPr fontId="1" type="noConversion"/>
  </si>
  <si>
    <t>3월</t>
  </si>
  <si>
    <t>3월</t>
    <phoneticPr fontId="1" type="noConversion"/>
  </si>
  <si>
    <t>결과</t>
    <phoneticPr fontId="3" type="noConversion"/>
  </si>
  <si>
    <t>수험서</t>
    <phoneticPr fontId="1" type="noConversion"/>
  </si>
  <si>
    <t>경제/경영</t>
    <phoneticPr fontId="1" type="noConversion"/>
  </si>
  <si>
    <t>교양</t>
    <phoneticPr fontId="1" type="noConversion"/>
  </si>
  <si>
    <t>소설</t>
    <phoneticPr fontId="1" type="noConversion"/>
  </si>
  <si>
    <t>취미</t>
    <phoneticPr fontId="1" type="noConversion"/>
  </si>
  <si>
    <t>건강</t>
    <phoneticPr fontId="1" type="noConversion"/>
  </si>
  <si>
    <t>여행</t>
    <phoneticPr fontId="1" type="noConversion"/>
  </si>
  <si>
    <t>IT-25</t>
    <phoneticPr fontId="1" type="noConversion"/>
  </si>
  <si>
    <t>EC-60</t>
    <phoneticPr fontId="1" type="noConversion"/>
  </si>
  <si>
    <t>RF-10</t>
    <phoneticPr fontId="1" type="noConversion"/>
  </si>
  <si>
    <t>HB-49</t>
    <phoneticPr fontId="1" type="noConversion"/>
  </si>
  <si>
    <t>HT-33</t>
    <phoneticPr fontId="1" type="noConversion"/>
  </si>
  <si>
    <t>PC-52</t>
    <phoneticPr fontId="1" type="noConversion"/>
  </si>
  <si>
    <t>FT-41</t>
    <phoneticPr fontId="1" type="noConversion"/>
  </si>
  <si>
    <t>TV-77</t>
    <phoneticPr fontId="1" type="noConversion"/>
  </si>
  <si>
    <t>단위 : 만원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</si>
  <si>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</si>
  <si>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</si>
  <si>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</si>
  <si>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</si>
  <si>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</si>
  <si>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</si>
  <si>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</si>
  <si>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</si>
  <si>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</si>
  <si>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생산일</t>
    <phoneticPr fontId="1" type="noConversion"/>
  </si>
  <si>
    <t>월</t>
    <phoneticPr fontId="1" type="noConversion"/>
  </si>
  <si>
    <t>생산품(A)</t>
    <phoneticPr fontId="1" type="noConversion"/>
  </si>
  <si>
    <t>생산품(B)</t>
    <phoneticPr fontId="1" type="noConversion"/>
  </si>
  <si>
    <t>생산품(C)</t>
    <phoneticPr fontId="1" type="noConversion"/>
  </si>
  <si>
    <t>생산품(B)
표준편차</t>
    <phoneticPr fontId="1" type="noConversion"/>
  </si>
  <si>
    <t>아파트 분양가 분석 현황</t>
    <phoneticPr fontId="3" type="noConversion"/>
  </si>
  <si>
    <t>중간고사 성적표</t>
    <phoneticPr fontId="1" type="noConversion"/>
  </si>
  <si>
    <t>1/4분기 매출결과</t>
    <phoneticPr fontId="1" type="noConversion"/>
  </si>
  <si>
    <t>부서</t>
    <phoneticPr fontId="1" type="noConversion"/>
  </si>
  <si>
    <t>직급</t>
    <phoneticPr fontId="1" type="noConversion"/>
  </si>
  <si>
    <t>보너스</t>
    <phoneticPr fontId="1" type="noConversion"/>
  </si>
  <si>
    <t>호봉</t>
    <phoneticPr fontId="1" type="noConversion"/>
  </si>
  <si>
    <t>전기판</t>
    <phoneticPr fontId="1" type="noConversion"/>
  </si>
  <si>
    <t>백수인</t>
    <phoneticPr fontId="1" type="noConversion"/>
  </si>
  <si>
    <t>공양미</t>
    <phoneticPr fontId="1" type="noConversion"/>
  </si>
  <si>
    <t>이나중</t>
    <phoneticPr fontId="1" type="noConversion"/>
  </si>
  <si>
    <t>배사공</t>
    <phoneticPr fontId="1" type="noConversion"/>
  </si>
  <si>
    <t>이용자</t>
    <phoneticPr fontId="1" type="noConversion"/>
  </si>
  <si>
    <t>신주사</t>
    <phoneticPr fontId="1" type="noConversion"/>
  </si>
  <si>
    <t>임신중</t>
    <phoneticPr fontId="1" type="noConversion"/>
  </si>
  <si>
    <t>이대로</t>
    <phoneticPr fontId="1" type="noConversion"/>
  </si>
  <si>
    <t>영업부</t>
    <phoneticPr fontId="1" type="noConversion"/>
  </si>
  <si>
    <t>영업부 보너스 합계</t>
    <phoneticPr fontId="1" type="noConversion"/>
  </si>
  <si>
    <t>제작부</t>
    <phoneticPr fontId="1" type="noConversion"/>
  </si>
  <si>
    <t>경리부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</si>
  <si>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</si>
  <si>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</si>
  <si>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</si>
  <si>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목표매출액</t>
  </si>
  <si>
    <t>불량율</t>
  </si>
  <si>
    <t>생산코드</t>
    <phoneticPr fontId="1" type="noConversion"/>
  </si>
  <si>
    <t>생산수량</t>
    <phoneticPr fontId="1" type="noConversion"/>
  </si>
  <si>
    <t>생산원가</t>
    <phoneticPr fontId="1" type="noConversion"/>
  </si>
  <si>
    <t>통조림 가공생산 현황</t>
    <phoneticPr fontId="1" type="noConversion"/>
  </si>
  <si>
    <t>가공팀</t>
    <phoneticPr fontId="1" type="noConversion"/>
  </si>
  <si>
    <t>가공1팀</t>
    <phoneticPr fontId="1" type="noConversion"/>
  </si>
  <si>
    <t>가공2팀</t>
    <phoneticPr fontId="1" type="noConversion"/>
  </si>
  <si>
    <t>가공3팀</t>
    <phoneticPr fontId="1" type="noConversion"/>
  </si>
  <si>
    <t>가공품명</t>
    <phoneticPr fontId="1" type="noConversion"/>
  </si>
  <si>
    <t>참치</t>
    <phoneticPr fontId="1" type="noConversion"/>
  </si>
  <si>
    <t>파인애플</t>
    <phoneticPr fontId="1" type="noConversion"/>
  </si>
  <si>
    <t>꽁치</t>
    <phoneticPr fontId="1" type="noConversion"/>
  </si>
  <si>
    <t>닭가슴살</t>
    <phoneticPr fontId="1" type="noConversion"/>
  </si>
  <si>
    <t>성별</t>
    <phoneticPr fontId="3" type="noConversion"/>
  </si>
  <si>
    <t>나이</t>
    <phoneticPr fontId="3" type="noConversion"/>
  </si>
  <si>
    <t>지역</t>
    <phoneticPr fontId="1" type="noConversion"/>
  </si>
  <si>
    <t>직업</t>
    <phoneticPr fontId="1" type="noConversion"/>
  </si>
  <si>
    <t>연락처</t>
    <phoneticPr fontId="3" type="noConversion"/>
  </si>
  <si>
    <t>기부금</t>
    <phoneticPr fontId="1" type="noConversion"/>
  </si>
  <si>
    <t>한동호</t>
    <phoneticPr fontId="1" type="noConversion"/>
  </si>
  <si>
    <t>김만우</t>
    <phoneticPr fontId="1" type="noConversion"/>
  </si>
  <si>
    <t>고기주</t>
    <phoneticPr fontId="1" type="noConversion"/>
  </si>
  <si>
    <t>무진장</t>
    <phoneticPr fontId="1" type="noConversion"/>
  </si>
  <si>
    <t>고향이</t>
    <phoneticPr fontId="1" type="noConversion"/>
  </si>
  <si>
    <t>우양아</t>
    <phoneticPr fontId="1" type="noConversion"/>
  </si>
  <si>
    <t>허수리</t>
    <phoneticPr fontId="1" type="noConversion"/>
  </si>
  <si>
    <t>전대용</t>
    <phoneticPr fontId="1" type="noConversion"/>
  </si>
  <si>
    <t>감사용</t>
    <phoneticPr fontId="1" type="noConversion"/>
  </si>
  <si>
    <t>회사원</t>
    <phoneticPr fontId="1" type="noConversion"/>
  </si>
  <si>
    <t>대학생</t>
    <phoneticPr fontId="1" type="noConversion"/>
  </si>
  <si>
    <t>자영업</t>
    <phoneticPr fontId="1" type="noConversion"/>
  </si>
  <si>
    <t>대학교수</t>
    <phoneticPr fontId="1" type="noConversion"/>
  </si>
  <si>
    <t>의사</t>
    <phoneticPr fontId="1" type="noConversion"/>
  </si>
  <si>
    <t>변호사</t>
    <phoneticPr fontId="1" type="noConversion"/>
  </si>
  <si>
    <t>010-6547-3274</t>
    <phoneticPr fontId="1" type="noConversion"/>
  </si>
  <si>
    <t>010-3488-3541</t>
    <phoneticPr fontId="1" type="noConversion"/>
  </si>
  <si>
    <t>010-9374-5274</t>
    <phoneticPr fontId="1" type="noConversion"/>
  </si>
  <si>
    <t>010-3355-6674</t>
    <phoneticPr fontId="1" type="noConversion"/>
  </si>
  <si>
    <t>010-3574-7257</t>
    <phoneticPr fontId="1" type="noConversion"/>
  </si>
  <si>
    <t>010-2178-2008</t>
    <phoneticPr fontId="1" type="noConversion"/>
  </si>
  <si>
    <t>010-7827-1610</t>
    <phoneticPr fontId="1" type="noConversion"/>
  </si>
  <si>
    <t>010-9357-9956</t>
    <phoneticPr fontId="1" type="noConversion"/>
  </si>
  <si>
    <t>010-3274-1092</t>
    <phoneticPr fontId="1" type="noConversion"/>
  </si>
  <si>
    <t>동호회 회원 현황</t>
    <phoneticPr fontId="3" type="noConversion"/>
  </si>
  <si>
    <t>연봉</t>
    <phoneticPr fontId="1" type="noConversion"/>
  </si>
  <si>
    <t>우연이</t>
    <phoneticPr fontId="1" type="noConversion"/>
  </si>
  <si>
    <t>여</t>
    <phoneticPr fontId="1" type="noConversion"/>
  </si>
  <si>
    <t>관리부</t>
    <phoneticPr fontId="1" type="noConversion"/>
  </si>
  <si>
    <t>부장</t>
    <phoneticPr fontId="1" type="noConversion"/>
  </si>
  <si>
    <t>대졸</t>
    <phoneticPr fontId="1" type="noConversion"/>
  </si>
  <si>
    <t>정보처리</t>
    <phoneticPr fontId="1" type="noConversion"/>
  </si>
  <si>
    <t>허미진</t>
    <phoneticPr fontId="1" type="noConversion"/>
  </si>
  <si>
    <t>과장</t>
    <phoneticPr fontId="1" type="noConversion"/>
  </si>
  <si>
    <t>대학원졸</t>
    <phoneticPr fontId="1" type="noConversion"/>
  </si>
  <si>
    <t>컴퓨터활용능력</t>
    <phoneticPr fontId="1" type="noConversion"/>
  </si>
  <si>
    <t>무기한</t>
    <phoneticPr fontId="1" type="noConversion"/>
  </si>
  <si>
    <t>남</t>
    <phoneticPr fontId="1" type="noConversion"/>
  </si>
  <si>
    <t>대리</t>
    <phoneticPr fontId="1" type="noConversion"/>
  </si>
  <si>
    <t>워드프로세서</t>
    <phoneticPr fontId="1" type="noConversion"/>
  </si>
  <si>
    <t>강하지</t>
    <phoneticPr fontId="1" type="noConversion"/>
  </si>
  <si>
    <t>사원</t>
    <phoneticPr fontId="1" type="noConversion"/>
  </si>
  <si>
    <t>고졸</t>
    <phoneticPr fontId="1" type="noConversion"/>
  </si>
  <si>
    <t>이름이</t>
    <phoneticPr fontId="1" type="noConversion"/>
  </si>
  <si>
    <t>기획부</t>
    <phoneticPr fontId="1" type="noConversion"/>
  </si>
  <si>
    <t>고요한</t>
    <phoneticPr fontId="1" type="noConversion"/>
  </si>
  <si>
    <t>이백원</t>
    <phoneticPr fontId="1" type="noConversion"/>
  </si>
  <si>
    <t>정수기</t>
    <phoneticPr fontId="1" type="noConversion"/>
  </si>
  <si>
    <t>한노동</t>
    <phoneticPr fontId="1" type="noConversion"/>
  </si>
  <si>
    <t>영업부</t>
    <phoneticPr fontId="1" type="noConversion"/>
  </si>
  <si>
    <t>신수학</t>
    <phoneticPr fontId="1" type="noConversion"/>
  </si>
  <si>
    <t>최첨단</t>
    <phoneticPr fontId="1" type="noConversion"/>
  </si>
  <si>
    <t>박두식</t>
    <phoneticPr fontId="1" type="noConversion"/>
  </si>
  <si>
    <t>4월 카드 사용 내역</t>
    <phoneticPr fontId="3" type="noConversion"/>
  </si>
  <si>
    <t>사용일자</t>
    <phoneticPr fontId="1" type="noConversion"/>
  </si>
  <si>
    <t>사용가맹점</t>
    <phoneticPr fontId="1" type="noConversion"/>
  </si>
  <si>
    <t>할부기간</t>
    <phoneticPr fontId="1" type="noConversion"/>
  </si>
  <si>
    <t>사용금액</t>
    <phoneticPr fontId="3" type="noConversion"/>
  </si>
  <si>
    <t>할인금액</t>
    <phoneticPr fontId="1" type="noConversion"/>
  </si>
  <si>
    <t>결제금액</t>
    <phoneticPr fontId="1" type="noConversion"/>
  </si>
  <si>
    <t>서울바게트</t>
    <phoneticPr fontId="1" type="noConversion"/>
  </si>
  <si>
    <t>디마트(마포)</t>
    <phoneticPr fontId="1" type="noConversion"/>
  </si>
  <si>
    <t>로우마트</t>
    <phoneticPr fontId="1" type="noConversion"/>
  </si>
  <si>
    <t>상공의원</t>
    <phoneticPr fontId="1" type="noConversion"/>
  </si>
  <si>
    <t>상공주유소</t>
    <phoneticPr fontId="1" type="noConversion"/>
  </si>
  <si>
    <t>축산물전문점</t>
    <phoneticPr fontId="1" type="noConversion"/>
  </si>
  <si>
    <t>맛나식당</t>
    <phoneticPr fontId="1" type="noConversion"/>
  </si>
  <si>
    <t>영화박스</t>
    <phoneticPr fontId="1" type="noConversion"/>
  </si>
  <si>
    <t>디마트(마포)</t>
    <phoneticPr fontId="1" type="noConversion"/>
  </si>
  <si>
    <t>TV홈쇼핑</t>
    <phoneticPr fontId="1" type="noConversion"/>
  </si>
  <si>
    <t>합계</t>
    <phoneticPr fontId="1" type="noConversion"/>
  </si>
  <si>
    <t>품명</t>
    <phoneticPr fontId="3" type="noConversion"/>
  </si>
  <si>
    <t>수출지역</t>
    <phoneticPr fontId="3" type="noConversion"/>
  </si>
  <si>
    <t>수출단가</t>
    <phoneticPr fontId="3" type="noConversion"/>
  </si>
  <si>
    <t>수출량</t>
    <phoneticPr fontId="1" type="noConversion"/>
  </si>
  <si>
    <t>북아메리카</t>
    <phoneticPr fontId="3" type="noConversion"/>
  </si>
  <si>
    <t>남아메리카</t>
    <phoneticPr fontId="3" type="noConversion"/>
  </si>
  <si>
    <t>아시아</t>
    <phoneticPr fontId="3" type="noConversion"/>
  </si>
  <si>
    <t>오세아니아</t>
    <phoneticPr fontId="3" type="noConversion"/>
  </si>
  <si>
    <t>유럽</t>
    <phoneticPr fontId="3" type="noConversion"/>
  </si>
  <si>
    <t>중동</t>
    <phoneticPr fontId="3" type="noConversion"/>
  </si>
  <si>
    <t>아프리카</t>
    <phoneticPr fontId="3" type="noConversion"/>
  </si>
  <si>
    <t>스마트폰</t>
    <phoneticPr fontId="1" type="noConversion"/>
  </si>
  <si>
    <t>자동차</t>
    <phoneticPr fontId="1" type="noConversion"/>
  </si>
  <si>
    <t>석유제품</t>
    <phoneticPr fontId="1" type="noConversion"/>
  </si>
  <si>
    <t>컴퓨터</t>
    <phoneticPr fontId="1" type="noConversion"/>
  </si>
  <si>
    <t>섬유</t>
    <phoneticPr fontId="1" type="noConversion"/>
  </si>
  <si>
    <t>수출총액</t>
    <phoneticPr fontId="3" type="noConversion"/>
  </si>
  <si>
    <t>3D TV</t>
    <phoneticPr fontId="1" type="noConversion"/>
  </si>
  <si>
    <t>상공회사 사원관리 현황</t>
    <phoneticPr fontId="1" type="noConversion"/>
  </si>
  <si>
    <t>배드민턴센터 회원 명단</t>
    <phoneticPr fontId="1" type="noConversion"/>
  </si>
  <si>
    <t>제품 판매 현황</t>
    <phoneticPr fontId="1" type="noConversion"/>
  </si>
  <si>
    <t>월별 생산 현황</t>
    <phoneticPr fontId="1" type="noConversion"/>
  </si>
  <si>
    <t>보너스 지급 현황</t>
    <phoneticPr fontId="1" type="noConversion"/>
  </si>
  <si>
    <t>2022-T</t>
    <phoneticPr fontId="1" type="noConversion"/>
  </si>
  <si>
    <t>2022-P</t>
    <phoneticPr fontId="1" type="noConversion"/>
  </si>
  <si>
    <t>2022-C</t>
    <phoneticPr fontId="1" type="noConversion"/>
  </si>
  <si>
    <t>회원코드</t>
    <phoneticPr fontId="1" type="noConversion"/>
  </si>
  <si>
    <t>연락처</t>
    <phoneticPr fontId="1" type="noConversion"/>
  </si>
  <si>
    <t>등록일</t>
    <phoneticPr fontId="1" type="noConversion"/>
  </si>
  <si>
    <t>수강일</t>
    <phoneticPr fontId="1" type="noConversion"/>
  </si>
  <si>
    <t>박영민</t>
    <phoneticPr fontId="1" type="noConversion"/>
  </si>
  <si>
    <t>BD-1035</t>
    <phoneticPr fontId="1" type="noConversion"/>
  </si>
  <si>
    <t>정회원</t>
    <phoneticPr fontId="1" type="noConversion"/>
  </si>
  <si>
    <t>010-6954-8697</t>
    <phoneticPr fontId="1" type="noConversion"/>
  </si>
  <si>
    <t>3월 2일</t>
    <phoneticPr fontId="1" type="noConversion"/>
  </si>
  <si>
    <t>월, 수, 금</t>
    <phoneticPr fontId="1" type="noConversion"/>
  </si>
  <si>
    <t>조호준</t>
    <phoneticPr fontId="1" type="noConversion"/>
  </si>
  <si>
    <t>BD-1068</t>
    <phoneticPr fontId="1" type="noConversion"/>
  </si>
  <si>
    <t>010-6847-6833</t>
    <phoneticPr fontId="1" type="noConversion"/>
  </si>
  <si>
    <t>3월 19일</t>
    <phoneticPr fontId="1" type="noConversion"/>
  </si>
  <si>
    <t>화, 목, 토</t>
    <phoneticPr fontId="1" type="noConversion"/>
  </si>
  <si>
    <t>윤미나</t>
    <phoneticPr fontId="1" type="noConversion"/>
  </si>
  <si>
    <t>BD-1086</t>
    <phoneticPr fontId="1" type="noConversion"/>
  </si>
  <si>
    <t>010-9853-2381</t>
    <phoneticPr fontId="1" type="noConversion"/>
  </si>
  <si>
    <t>4월 7일</t>
    <phoneticPr fontId="1" type="noConversion"/>
  </si>
  <si>
    <t>이리소</t>
    <phoneticPr fontId="1" type="noConversion"/>
  </si>
  <si>
    <t>BD-1268</t>
    <phoneticPr fontId="1" type="noConversion"/>
  </si>
  <si>
    <t>010-7895-5552</t>
    <phoneticPr fontId="1" type="noConversion"/>
  </si>
  <si>
    <t>4월 10일</t>
    <phoneticPr fontId="1" type="noConversion"/>
  </si>
  <si>
    <t>민나영</t>
    <phoneticPr fontId="1" type="noConversion"/>
  </si>
  <si>
    <t>BD-2305</t>
    <phoneticPr fontId="1" type="noConversion"/>
  </si>
  <si>
    <t>010-3218-9987</t>
    <phoneticPr fontId="1" type="noConversion"/>
  </si>
  <si>
    <t>4월 12일</t>
    <phoneticPr fontId="1" type="noConversion"/>
  </si>
  <si>
    <t>김진성</t>
    <phoneticPr fontId="1" type="noConversion"/>
  </si>
  <si>
    <t>BD-2048</t>
    <phoneticPr fontId="1" type="noConversion"/>
  </si>
  <si>
    <t>준회원</t>
    <phoneticPr fontId="1" type="noConversion"/>
  </si>
  <si>
    <t>010-5874-6985</t>
    <phoneticPr fontId="1" type="noConversion"/>
  </si>
  <si>
    <t>5월 1일</t>
    <phoneticPr fontId="1" type="noConversion"/>
  </si>
  <si>
    <t>한우리</t>
    <phoneticPr fontId="1" type="noConversion"/>
  </si>
  <si>
    <t>BD-2147</t>
    <phoneticPr fontId="1" type="noConversion"/>
  </si>
  <si>
    <t>010-3257-2498</t>
    <phoneticPr fontId="1" type="noConversion"/>
  </si>
  <si>
    <t>5월 3일</t>
    <phoneticPr fontId="1" type="noConversion"/>
  </si>
  <si>
    <t>설마로</t>
    <phoneticPr fontId="1" type="noConversion"/>
  </si>
  <si>
    <t>BD-2369</t>
    <phoneticPr fontId="1" type="noConversion"/>
  </si>
  <si>
    <t>010-2745-9862</t>
    <phoneticPr fontId="1" type="noConversion"/>
  </si>
  <si>
    <t>5월 4일</t>
    <phoneticPr fontId="1" type="noConversion"/>
  </si>
  <si>
    <t>資格證</t>
    <phoneticPr fontId="1" type="noConversion"/>
  </si>
  <si>
    <t>영어</t>
    <phoneticPr fontId="1" type="noConversion"/>
  </si>
  <si>
    <t>&gt;=90</t>
    <phoneticPr fontId="1" type="noConversion"/>
  </si>
  <si>
    <t>가공품명</t>
  </si>
  <si>
    <t>(모두)</t>
  </si>
  <si>
    <t>행 레이블</t>
  </si>
  <si>
    <t>총합계</t>
  </si>
  <si>
    <t>열 레이블</t>
  </si>
  <si>
    <t>가공1팀</t>
  </si>
  <si>
    <t>가공2팀</t>
  </si>
  <si>
    <t>가공3팀</t>
  </si>
  <si>
    <t>평균 : 목표매출액</t>
  </si>
  <si>
    <t>전체 최대값</t>
  </si>
  <si>
    <t>서울 요약</t>
  </si>
  <si>
    <t>대전 요약</t>
  </si>
  <si>
    <t>경기 요약</t>
  </si>
  <si>
    <t>우리나라 수출 현황</t>
    <phoneticPr fontId="3" type="noConversion"/>
  </si>
  <si>
    <t>2023년 5월</t>
  </si>
  <si>
    <t>2023년 7월</t>
  </si>
  <si>
    <t>2023년 3월</t>
  </si>
  <si>
    <t>2023년 6월</t>
  </si>
  <si>
    <t>서울 최대</t>
  </si>
  <si>
    <t>대전 최대</t>
  </si>
  <si>
    <t>경기 최대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</si>
</sst>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m\/dd"/>
    <numFmt numFmtId="177" formatCode="#,##0,,&quot;백만원&quot;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color theme="1"/>
      <name val="맑은 고딕"/>
      <family val="2"/>
      <charset val="129"/>
      <scheme val="minor"/>
    </font>
    <font>
      <b/>
      <i/>
      <u/>
      <sz val="16"/>
      <color theme="1"/>
      <name val="궁서체"/>
      <family val="1"/>
      <charset val="129"/>
    </font>
    <font>
      <sz val="11"/>
      <color rgb="FFFFFF00"/>
      <name val="돋움체"/>
      <family val="3"/>
      <charset val="129"/>
    </font>
    <font>
      <sz val="11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41" fontId="2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0" fontId="9" fillId="0" borderId="0"/>
  </cellStyleXfs>
  <cellXfs count="46">
    <xf numFmtId="0" fontId="0" fillId="0" borderId="0" xfId="0">
      <alignment vertical="center"/>
    </xf>
    <xf numFmtId="0" fontId="0" fillId="0" borderId="0" xfId="0" applyAlignment="1"/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41" fontId="0" fillId="0" borderId="1" xfId="3" applyFont="1" applyBorder="1">
      <alignment vertical="center"/>
    </xf>
    <xf numFmtId="41" fontId="0" fillId="0" borderId="1" xfId="3" applyFont="1" applyBorder="1" applyAlignment="1">
      <alignment horizontal="center" vertical="center"/>
    </xf>
    <xf numFmtId="0" fontId="0" fillId="0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41" fontId="0" fillId="0" borderId="1" xfId="3" applyFont="1" applyFill="1" applyBorder="1" applyAlignment="1">
      <alignment horizontal="center" vertical="center"/>
    </xf>
    <xf numFmtId="41" fontId="0" fillId="0" borderId="2" xfId="3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3" applyNumberFormat="1" applyFont="1" applyFill="1" applyBorder="1" applyAlignment="1">
      <alignment horizontal="center" vertical="center"/>
    </xf>
    <xf numFmtId="0" fontId="10" fillId="0" borderId="1" xfId="4" applyFont="1" applyBorder="1" applyAlignment="1">
      <alignment horizontal="center" wrapText="1"/>
    </xf>
    <xf numFmtId="14" fontId="10" fillId="0" borderId="1" xfId="4" applyNumberFormat="1" applyFont="1" applyBorder="1" applyAlignment="1">
      <alignment horizontal="center" wrapText="1"/>
    </xf>
    <xf numFmtId="41" fontId="10" fillId="0" borderId="1" xfId="3" applyFont="1" applyFill="1" applyBorder="1" applyAlignment="1">
      <alignment horizontal="center" wrapText="1"/>
    </xf>
    <xf numFmtId="10" fontId="10" fillId="0" borderId="1" xfId="4" applyNumberFormat="1" applyFont="1" applyBorder="1" applyAlignment="1">
      <alignment horizontal="center" wrapText="1"/>
    </xf>
    <xf numFmtId="176" fontId="0" fillId="0" borderId="1" xfId="0" applyNumberFormat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1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41" fontId="0" fillId="0" borderId="0" xfId="3" applyFont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177" fontId="4" fillId="0" borderId="1" xfId="0" applyNumberFormat="1" applyFont="1" applyBorder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41" fontId="0" fillId="0" borderId="1" xfId="3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5">
    <cellStyle name="쉼표 [0]" xfId="3" builtinId="6"/>
    <cellStyle name="쉼표 [0] 2" xfId="2" xr:uid="{00000000-0005-0000-0000-000001000000}"/>
    <cellStyle name="표준" xfId="0" builtinId="0"/>
    <cellStyle name="표준 2" xfId="1" xr:uid="{00000000-0005-0000-0000-000003000000}"/>
    <cellStyle name="표준_Sheet1" xfId="4" xr:uid="{00000000-0005-0000-0000-000004000000}"/>
  </cellStyles>
  <dxfs count="2">
    <dxf>
      <numFmt numFmtId="33" formatCode="_-* #,##0_-;\-* #,##0_-;_-* &quot;-&quot;_-;_-@_-"/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i="1">
                <a:latin typeface="궁서체" panose="02030609000101010101" pitchFamily="17" charset="-127"/>
                <a:ea typeface="궁서체" panose="02030609000101010101" pitchFamily="17" charset="-127"/>
              </a:defRPr>
            </a:pPr>
            <a:r>
              <a:rPr lang="ko-KR" altLang="en-US" sz="1600" i="1">
                <a:latin typeface="궁서체" panose="02030609000101010101" pitchFamily="17" charset="-127"/>
                <a:ea typeface="궁서체" panose="02030609000101010101" pitchFamily="17" charset="-127"/>
              </a:rPr>
              <a:t>가전제품 수출 현황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차트작업!$E$3</c:f>
              <c:strCache>
                <c:ptCount val="1"/>
                <c:pt idx="0">
                  <c:v>수출총액</c:v>
                </c:pt>
              </c:strCache>
            </c:strRef>
          </c:tx>
          <c:invertIfNegative val="0"/>
          <c:dLbls>
            <c:dLbl>
              <c:idx val="3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71-4325-A4A5-561A9B2A9F1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(차트작업!$A$4:$A$5,차트작업!$A$8,차트작업!$A$10)</c:f>
              <c:strCache>
                <c:ptCount val="4"/>
                <c:pt idx="0">
                  <c:v>스마트폰</c:v>
                </c:pt>
                <c:pt idx="1">
                  <c:v>냉장고</c:v>
                </c:pt>
                <c:pt idx="2">
                  <c:v>컴퓨터</c:v>
                </c:pt>
                <c:pt idx="3">
                  <c:v>3D TV</c:v>
                </c:pt>
              </c:strCache>
            </c:strRef>
          </c:cat>
          <c:val>
            <c:numRef>
              <c:f>(차트작업!$E$4:$E$5,차트작업!$E$8,차트작업!$E$10)</c:f>
              <c:numCache>
                <c:formatCode>_(* #,##0_);_(* \(#,##0\);_(* "-"_);_(@_)</c:formatCode>
                <c:ptCount val="4"/>
                <c:pt idx="0">
                  <c:v>2448000000</c:v>
                </c:pt>
                <c:pt idx="1">
                  <c:v>3350000000</c:v>
                </c:pt>
                <c:pt idx="2">
                  <c:v>2550000000</c:v>
                </c:pt>
                <c:pt idx="3">
                  <c:v>3360000000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4B-4124-B007-205A34ADA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5260559"/>
        <c:axId val="1435263471"/>
      </c:barChart>
      <c:lineChart>
        <c:grouping val="standar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수출단가</c:v>
                </c:pt>
              </c:strCache>
            </c:strRef>
          </c:tx>
          <c:cat>
            <c:strRef>
              <c:f>(차트작업!$A$4:$A$5,차트작업!$A$8,차트작업!$A$10)</c:f>
              <c:strCache>
                <c:ptCount val="4"/>
                <c:pt idx="0">
                  <c:v>스마트폰</c:v>
                </c:pt>
                <c:pt idx="1">
                  <c:v>냉장고</c:v>
                </c:pt>
                <c:pt idx="2">
                  <c:v>컴퓨터</c:v>
                </c:pt>
                <c:pt idx="3">
                  <c:v>3D TV</c:v>
                </c:pt>
              </c:strCache>
            </c:strRef>
          </c:cat>
          <c:val>
            <c:numRef>
              <c:f>(차트작업!$C$4:$C$5,차트작업!$C$8,차트작업!$C$10)</c:f>
              <c:numCache>
                <c:formatCode>_(* #,##0_);_(* \(#,##0\);_(* "-"_);_(@_)</c:formatCode>
                <c:ptCount val="4"/>
                <c:pt idx="0">
                  <c:v>720000</c:v>
                </c:pt>
                <c:pt idx="1">
                  <c:v>1340000</c:v>
                </c:pt>
                <c:pt idx="2">
                  <c:v>850000</c:v>
                </c:pt>
                <c:pt idx="3">
                  <c:v>1200000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4B-4124-B007-205A34ADA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43840"/>
        <c:axId val="99445376"/>
      </c:lineChart>
      <c:catAx>
        <c:axId val="994438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9445376"/>
        <c:crosses val="autoZero"/>
        <c:auto val="1"/>
        <c:lblAlgn val="ctr"/>
        <c:lblOffset val="100"/>
        <c:noMultiLvlLbl val="0"/>
      </c:catAx>
      <c:valAx>
        <c:axId val="99445376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99443840"/>
        <c:crosses val="autoZero"/>
        <c:crossBetween val="between"/>
        <c:majorUnit val="400000"/>
      </c:valAx>
      <c:valAx>
        <c:axId val="1435263471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435260559"/>
        <c:crosses val="max"/>
        <c:crossBetween val="between"/>
        <c:majorUnit val="1000000000"/>
      </c:valAx>
      <c:catAx>
        <c:axId val="14352605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35263471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9</xdr:col>
      <xdr:colOff>0</xdr:colOff>
      <xdr:row>5</xdr:row>
      <xdr:rowOff>0</xdr:rowOff>
    </xdr:to>
    <xdr:sp macro="[0]!합계" textlink="">
      <xdr:nvSpPr>
        <xdr:cNvPr id="4" name="웃는 얼굴 1">
          <a:extLst>
            <a:ext uri="{FF2B5EF4-FFF2-40B4-BE49-F238E27FC236}">
              <a16:creationId xmlns:a16="http://schemas.microsoft.com/office/drawing/2014/main" id="{426880C6-4166-DD32-9FC0-D9C15809D194}"/>
            </a:ext>
          </a:extLst>
        </xdr:cNvPr>
        <xdr:cNvSpPr/>
      </xdr:nvSpPr>
      <xdr:spPr>
        <a:xfrm>
          <a:off x="5400675" y="466725"/>
          <a:ext cx="1371600" cy="628650"/>
        </a:xfrm>
        <a:prstGeom prst="smileyFac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합계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[0]!서식" textlink="">
      <xdr:nvSpPr>
        <xdr:cNvPr id="5" name="사각형: 빗면 1">
          <a:extLst>
            <a:ext uri="{FF2B5EF4-FFF2-40B4-BE49-F238E27FC236}">
              <a16:creationId xmlns:a16="http://schemas.microsoft.com/office/drawing/2014/main" id="{47A563EB-33AA-A00B-C48F-DCDCD057E922}"/>
            </a:ext>
          </a:extLst>
        </xdr:cNvPr>
        <xdr:cNvSpPr/>
      </xdr:nvSpPr>
      <xdr:spPr>
        <a:xfrm>
          <a:off x="5400675" y="1304925"/>
          <a:ext cx="1371600" cy="62865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12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7" name="차트 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조준현" refreshedDate="44469.667624421294" createdVersion="6" refreshedVersion="6" minRefreshableVersion="3" recordCount="12" xr:uid="{00000000-000A-0000-FFFF-FFFF00000000}">
  <cacheSource type="worksheet">
    <worksheetSource ref="A3:H15" sheet="분석작업-1"/>
  </cacheSource>
  <cacheFields count="9">
    <cacheField name="생산코드" numFmtId="0">
      <sharedItems/>
    </cacheField>
    <cacheField name="생산일" numFmtId="14">
      <sharedItems containsSemiMixedTypes="0" containsNonDate="0" containsDate="1" containsString="0" minDate="2022-03-15T00:00:00" maxDate="2022-06-18T00:00:00" count="11">
        <d v="2022-03-15T00:00:00"/>
        <d v="2022-04-04T00:00:00"/>
        <d v="2022-05-16T00:00:00"/>
        <d v="2022-06-05T00:00:00"/>
        <d v="2022-03-19T00:00:00"/>
        <d v="2022-04-08T00:00:00"/>
        <d v="2022-05-21T00:00:00"/>
        <d v="2022-06-11T00:00:00"/>
        <d v="2022-04-24T00:00:00"/>
        <d v="2022-05-13T00:00:00"/>
        <d v="2022-06-17T00:00:00"/>
      </sharedItems>
      <fieldGroup par="8" base="1">
        <rangePr groupBy="days" startDate="2022-03-15T00:00:00" endDate="2022-06-18T00:00:00"/>
        <groupItems count="368">
          <s v="&lt;2022-03-15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2-06-18"/>
        </groupItems>
      </fieldGroup>
    </cacheField>
    <cacheField name="가공팀" numFmtId="0">
      <sharedItems count="3">
        <s v="가공1팀"/>
        <s v="가공2팀"/>
        <s v="가공3팀"/>
      </sharedItems>
    </cacheField>
    <cacheField name="가공품명" numFmtId="0">
      <sharedItems count="4">
        <s v="참치"/>
        <s v="파인애플"/>
        <s v="닭가슴살"/>
        <s v="꽁치"/>
      </sharedItems>
    </cacheField>
    <cacheField name="생산원가" numFmtId="0">
      <sharedItems containsSemiMixedTypes="0" containsString="0" containsNumber="1" containsInteger="1" minValue="540" maxValue="980"/>
    </cacheField>
    <cacheField name="생산수량" numFmtId="41">
      <sharedItems containsSemiMixedTypes="0" containsString="0" containsNumber="1" containsInteger="1" minValue="100000" maxValue="135000"/>
    </cacheField>
    <cacheField name="불량율" numFmtId="10">
      <sharedItems containsSemiMixedTypes="0" containsString="0" containsNumber="1" minValue="4.7000000000000002E-3" maxValue="9.1000000000000004E-3"/>
    </cacheField>
    <cacheField name="목표매출액" numFmtId="41">
      <sharedItems containsSemiMixedTypes="0" containsString="0" containsNumber="1" containsInteger="1" minValue="80190000" maxValue="165375000"/>
    </cacheField>
    <cacheField name="월" numFmtId="0" databaseField="0">
      <fieldGroup base="1">
        <rangePr groupBy="months" startDate="2022-03-15T00:00:00" endDate="2022-06-18T00:00:00"/>
        <groupItems count="14">
          <s v="&lt;2022-03-1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2-06-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s v="2022-T"/>
    <x v="0"/>
    <x v="0"/>
    <x v="0"/>
    <n v="980"/>
    <n v="100000"/>
    <n v="9.1000000000000004E-3"/>
    <n v="132300000"/>
  </r>
  <r>
    <s v="2022-P"/>
    <x v="1"/>
    <x v="0"/>
    <x v="1"/>
    <n v="540"/>
    <n v="110000"/>
    <n v="6.4999999999999997E-3"/>
    <n v="80190000"/>
  </r>
  <r>
    <s v="2022-C"/>
    <x v="2"/>
    <x v="0"/>
    <x v="2"/>
    <n v="700"/>
    <n v="135000"/>
    <n v="5.3E-3"/>
    <n v="127575000"/>
  </r>
  <r>
    <s v="2022-T"/>
    <x v="3"/>
    <x v="0"/>
    <x v="3"/>
    <n v="980"/>
    <n v="120000"/>
    <n v="5.4000000000000003E-3"/>
    <n v="158760000"/>
  </r>
  <r>
    <s v="2022-P"/>
    <x v="4"/>
    <x v="1"/>
    <x v="0"/>
    <n v="540"/>
    <n v="135000"/>
    <n v="5.7999999999999996E-3"/>
    <n v="98415000"/>
  </r>
  <r>
    <s v="2022-C"/>
    <x v="5"/>
    <x v="1"/>
    <x v="1"/>
    <n v="700"/>
    <n v="120000"/>
    <n v="8.8000000000000005E-3"/>
    <n v="113400000"/>
  </r>
  <r>
    <s v="2022-T"/>
    <x v="6"/>
    <x v="1"/>
    <x v="2"/>
    <n v="980"/>
    <n v="125000"/>
    <n v="7.6E-3"/>
    <n v="165375000"/>
  </r>
  <r>
    <s v="2022-P"/>
    <x v="7"/>
    <x v="1"/>
    <x v="3"/>
    <n v="540"/>
    <n v="125000"/>
    <n v="5.0000000000000001E-3"/>
    <n v="91125000"/>
  </r>
  <r>
    <s v="2022-C"/>
    <x v="0"/>
    <x v="2"/>
    <x v="0"/>
    <n v="700"/>
    <n v="115000"/>
    <n v="4.7000000000000002E-3"/>
    <n v="108675000"/>
  </r>
  <r>
    <s v="2022-T"/>
    <x v="8"/>
    <x v="2"/>
    <x v="1"/>
    <n v="980"/>
    <n v="100000"/>
    <n v="8.9999999999999993E-3"/>
    <n v="132300000"/>
  </r>
  <r>
    <s v="2022-P"/>
    <x v="9"/>
    <x v="2"/>
    <x v="2"/>
    <n v="540"/>
    <n v="115000"/>
    <n v="5.7000000000000002E-3"/>
    <n v="83835000"/>
  </r>
  <r>
    <s v="2022-C"/>
    <x v="10"/>
    <x v="2"/>
    <x v="3"/>
    <n v="700"/>
    <n v="120000"/>
    <n v="5.4000000000000003E-3"/>
    <n v="1134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피벗 테이블1" cacheId="2" applyNumberFormats="0" applyBorderFormats="0" applyFontFormats="0" applyPatternFormats="0" applyAlignmentFormats="0" applyWidthHeightFormats="1" dataCaption="값" updatedVersion="8" minRefreshableVersion="3" useAutoFormatting="1" colGrandTotals="0" itemPrintTitles="1" mergeItem="1" createdVersion="6" indent="0" outline="1" outlineData="1" multipleFieldFilters="0">
  <location ref="A20:D26" firstHeaderRow="1" firstDataRow="2" firstDataCol="1" rowPageCount="1" colPageCount="1"/>
  <pivotFields count="9"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4">
        <item x="0"/>
        <item x="1"/>
        <item x="2"/>
        <item t="default"/>
      </items>
    </pivotField>
    <pivotField axis="axisPage" showAll="0">
      <items count="5">
        <item x="3"/>
        <item x="2"/>
        <item x="0"/>
        <item x="1"/>
        <item t="default"/>
      </items>
    </pivotField>
    <pivotField showAll="0"/>
    <pivotField numFmtId="41" showAll="0"/>
    <pivotField numFmtId="10" showAll="0"/>
    <pivotField dataField="1" numFmtId="41"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8"/>
    <field x="1"/>
  </rowFields>
  <rowItems count="5">
    <i>
      <x v="3"/>
    </i>
    <i>
      <x v="4"/>
    </i>
    <i>
      <x v="5"/>
    </i>
    <i>
      <x v="6"/>
    </i>
    <i t="grand">
      <x/>
    </i>
  </rowItems>
  <colFields count="1">
    <field x="2"/>
  </colFields>
  <colItems count="3">
    <i>
      <x/>
    </i>
    <i>
      <x v="1"/>
    </i>
    <i>
      <x v="2"/>
    </i>
  </colItems>
  <pageFields count="1">
    <pageField fld="3" hier="-1"/>
  </pageFields>
  <dataFields count="1">
    <dataField name="평균 : 목표매출액" fld="7" subtotal="average" baseField="8" baseItem="3" numFmtId="41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1"/>
  <sheetViews>
    <sheetView tabSelected="1" workbookViewId="0"/>
  </sheetViews>
  <sheetFormatPr defaultRowHeight="16.5" x14ac:dyDescent="0.3"/>
  <cols>
    <col min="1" max="1" width="9" bestFit="1" customWidth="1"/>
    <col min="4" max="4" width="14.375" bestFit="1" customWidth="1"/>
  </cols>
  <sheetData>
    <row r="1" spans="1:6" x14ac:dyDescent="0.3">
      <c r="A1" s="1" t="s">
        <v>238</v>
      </c>
    </row>
    <row r="2" spans="1:6" x14ac:dyDescent="0.3">
      <c r="A2" s="1"/>
    </row>
    <row r="3" spans="1:6" x14ac:dyDescent="0.3">
      <c r="A3" s="1" t="s">
        <v>47</v>
      </c>
      <c r="B3" t="s">
        <v>245</v>
      </c>
      <c r="C3" t="s">
        <v>66</v>
      </c>
      <c r="D3" t="s">
        <v>246</v>
      </c>
      <c r="E3" t="s">
        <v>247</v>
      </c>
      <c r="F3" t="s">
        <v>248</v>
      </c>
    </row>
    <row r="4" spans="1:6" x14ac:dyDescent="0.3">
      <c r="A4" s="1" t="s">
        <v>249</v>
      </c>
      <c r="B4" t="s">
        <v>250</v>
      </c>
      <c r="C4" t="s">
        <v>251</v>
      </c>
      <c r="D4" t="s">
        <v>252</v>
      </c>
      <c r="E4" t="s">
        <v>253</v>
      </c>
      <c r="F4" t="s">
        <v>254</v>
      </c>
    </row>
    <row r="5" spans="1:6" x14ac:dyDescent="0.3">
      <c r="A5" s="1" t="s">
        <v>255</v>
      </c>
      <c r="B5" t="s">
        <v>256</v>
      </c>
      <c r="C5" t="s">
        <v>251</v>
      </c>
      <c r="D5" t="s">
        <v>257</v>
      </c>
      <c r="E5" t="s">
        <v>258</v>
      </c>
      <c r="F5" t="s">
        <v>259</v>
      </c>
    </row>
    <row r="6" spans="1:6" x14ac:dyDescent="0.3">
      <c r="A6" s="1" t="s">
        <v>260</v>
      </c>
      <c r="B6" t="s">
        <v>261</v>
      </c>
      <c r="C6" t="s">
        <v>251</v>
      </c>
      <c r="D6" t="s">
        <v>262</v>
      </c>
      <c r="E6" t="s">
        <v>263</v>
      </c>
      <c r="F6" t="s">
        <v>259</v>
      </c>
    </row>
    <row r="7" spans="1:6" x14ac:dyDescent="0.3">
      <c r="A7" s="1" t="s">
        <v>264</v>
      </c>
      <c r="B7" t="s">
        <v>265</v>
      </c>
      <c r="C7" t="s">
        <v>251</v>
      </c>
      <c r="D7" t="s">
        <v>266</v>
      </c>
      <c r="E7" t="s">
        <v>267</v>
      </c>
      <c r="F7" t="s">
        <v>254</v>
      </c>
    </row>
    <row r="8" spans="1:6" x14ac:dyDescent="0.3">
      <c r="A8" s="1" t="s">
        <v>268</v>
      </c>
      <c r="B8" t="s">
        <v>269</v>
      </c>
      <c r="C8" t="s">
        <v>251</v>
      </c>
      <c r="D8" t="s">
        <v>270</v>
      </c>
      <c r="E8" t="s">
        <v>271</v>
      </c>
      <c r="F8" t="s">
        <v>259</v>
      </c>
    </row>
    <row r="9" spans="1:6" x14ac:dyDescent="0.3">
      <c r="A9" s="1" t="s">
        <v>272</v>
      </c>
      <c r="B9" t="s">
        <v>273</v>
      </c>
      <c r="C9" t="s">
        <v>274</v>
      </c>
      <c r="D9" t="s">
        <v>275</v>
      </c>
      <c r="E9" t="s">
        <v>276</v>
      </c>
      <c r="F9" t="s">
        <v>254</v>
      </c>
    </row>
    <row r="10" spans="1:6" x14ac:dyDescent="0.3">
      <c r="A10" s="1" t="s">
        <v>277</v>
      </c>
      <c r="B10" t="s">
        <v>278</v>
      </c>
      <c r="C10" t="s">
        <v>274</v>
      </c>
      <c r="D10" t="s">
        <v>279</v>
      </c>
      <c r="E10" t="s">
        <v>280</v>
      </c>
      <c r="F10" t="s">
        <v>254</v>
      </c>
    </row>
    <row r="11" spans="1:6" x14ac:dyDescent="0.3">
      <c r="A11" s="1" t="s">
        <v>281</v>
      </c>
      <c r="B11" t="s">
        <v>282</v>
      </c>
      <c r="C11" t="s">
        <v>274</v>
      </c>
      <c r="D11" t="s">
        <v>283</v>
      </c>
      <c r="E11" t="s">
        <v>284</v>
      </c>
      <c r="F11" t="s">
        <v>259</v>
      </c>
    </row>
    <row r="12" spans="1:6" x14ac:dyDescent="0.3">
      <c r="A12" s="1"/>
    </row>
    <row r="13" spans="1:6" x14ac:dyDescent="0.3">
      <c r="A13" s="1"/>
    </row>
    <row r="14" spans="1:6" x14ac:dyDescent="0.3">
      <c r="A14" s="1"/>
    </row>
    <row r="15" spans="1:6" x14ac:dyDescent="0.3">
      <c r="A15" s="1"/>
    </row>
    <row r="16" spans="1:6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5"/>
  <sheetViews>
    <sheetView workbookViewId="0">
      <selection sqref="A1:H1"/>
    </sheetView>
  </sheetViews>
  <sheetFormatPr defaultRowHeight="16.5" x14ac:dyDescent="0.3"/>
  <cols>
    <col min="1" max="5" width="9" style="2"/>
    <col min="6" max="6" width="15.125" style="2" bestFit="1" customWidth="1"/>
    <col min="7" max="7" width="9" style="2"/>
    <col min="8" max="8" width="9.5" style="2" bestFit="1" customWidth="1"/>
    <col min="9" max="16384" width="9" style="2"/>
  </cols>
  <sheetData>
    <row r="1" spans="1:8" ht="20.25" x14ac:dyDescent="0.3">
      <c r="A1" s="34" t="s">
        <v>237</v>
      </c>
      <c r="B1" s="34"/>
      <c r="C1" s="34"/>
      <c r="D1" s="34"/>
      <c r="E1" s="34"/>
      <c r="F1" s="34"/>
      <c r="G1" s="34"/>
      <c r="H1" s="34"/>
    </row>
    <row r="3" spans="1:8" x14ac:dyDescent="0.3">
      <c r="A3" s="22" t="s">
        <v>5</v>
      </c>
      <c r="B3" s="22" t="s">
        <v>8</v>
      </c>
      <c r="C3" s="22" t="s">
        <v>6</v>
      </c>
      <c r="D3" s="22" t="s">
        <v>9</v>
      </c>
      <c r="E3" s="22" t="s">
        <v>7</v>
      </c>
      <c r="F3" s="22" t="s">
        <v>285</v>
      </c>
      <c r="G3" s="22" t="s">
        <v>10</v>
      </c>
      <c r="H3" s="22" t="s">
        <v>173</v>
      </c>
    </row>
    <row r="4" spans="1:8" x14ac:dyDescent="0.3">
      <c r="A4" s="23" t="s">
        <v>174</v>
      </c>
      <c r="B4" s="23" t="s">
        <v>175</v>
      </c>
      <c r="C4" s="23" t="s">
        <v>176</v>
      </c>
      <c r="D4" s="23" t="s">
        <v>177</v>
      </c>
      <c r="E4" s="23" t="s">
        <v>178</v>
      </c>
      <c r="F4" s="23" t="s">
        <v>179</v>
      </c>
      <c r="G4" s="23">
        <v>2013</v>
      </c>
      <c r="H4" s="32">
        <v>60000000</v>
      </c>
    </row>
    <row r="5" spans="1:8" x14ac:dyDescent="0.3">
      <c r="A5" s="23" t="s">
        <v>180</v>
      </c>
      <c r="B5" s="23" t="s">
        <v>175</v>
      </c>
      <c r="C5" s="23" t="s">
        <v>176</v>
      </c>
      <c r="D5" s="23" t="s">
        <v>181</v>
      </c>
      <c r="E5" s="23" t="s">
        <v>182</v>
      </c>
      <c r="F5" s="23" t="s">
        <v>183</v>
      </c>
      <c r="G5" s="23">
        <v>2018</v>
      </c>
      <c r="H5" s="32">
        <v>46000000</v>
      </c>
    </row>
    <row r="6" spans="1:8" x14ac:dyDescent="0.3">
      <c r="A6" s="23" t="s">
        <v>184</v>
      </c>
      <c r="B6" s="23" t="s">
        <v>185</v>
      </c>
      <c r="C6" s="23" t="s">
        <v>176</v>
      </c>
      <c r="D6" s="23" t="s">
        <v>186</v>
      </c>
      <c r="E6" s="23" t="s">
        <v>178</v>
      </c>
      <c r="F6" s="23" t="s">
        <v>187</v>
      </c>
      <c r="G6" s="23">
        <v>2021</v>
      </c>
      <c r="H6" s="32">
        <v>36000000</v>
      </c>
    </row>
    <row r="7" spans="1:8" x14ac:dyDescent="0.3">
      <c r="A7" s="23" t="s">
        <v>188</v>
      </c>
      <c r="B7" s="23" t="s">
        <v>185</v>
      </c>
      <c r="C7" s="23" t="s">
        <v>176</v>
      </c>
      <c r="D7" s="23" t="s">
        <v>189</v>
      </c>
      <c r="E7" s="23" t="s">
        <v>190</v>
      </c>
      <c r="F7" s="23" t="s">
        <v>183</v>
      </c>
      <c r="G7" s="23">
        <v>2022</v>
      </c>
      <c r="H7" s="32">
        <v>24000000</v>
      </c>
    </row>
    <row r="8" spans="1:8" x14ac:dyDescent="0.3">
      <c r="A8" s="23" t="s">
        <v>191</v>
      </c>
      <c r="B8" s="23" t="s">
        <v>175</v>
      </c>
      <c r="C8" s="23" t="s">
        <v>192</v>
      </c>
      <c r="D8" s="23" t="s">
        <v>177</v>
      </c>
      <c r="E8" s="23" t="s">
        <v>182</v>
      </c>
      <c r="F8" s="23" t="s">
        <v>187</v>
      </c>
      <c r="G8" s="23">
        <v>2012</v>
      </c>
      <c r="H8" s="32">
        <v>54000000</v>
      </c>
    </row>
    <row r="9" spans="1:8" x14ac:dyDescent="0.3">
      <c r="A9" s="23" t="s">
        <v>193</v>
      </c>
      <c r="B9" s="23" t="s">
        <v>185</v>
      </c>
      <c r="C9" s="23" t="s">
        <v>192</v>
      </c>
      <c r="D9" s="23" t="s">
        <v>181</v>
      </c>
      <c r="E9" s="23" t="s">
        <v>190</v>
      </c>
      <c r="F9" s="23" t="s">
        <v>179</v>
      </c>
      <c r="G9" s="23">
        <v>2017</v>
      </c>
      <c r="H9" s="32">
        <v>48000000</v>
      </c>
    </row>
    <row r="10" spans="1:8" x14ac:dyDescent="0.3">
      <c r="A10" s="23" t="s">
        <v>194</v>
      </c>
      <c r="B10" s="23" t="s">
        <v>185</v>
      </c>
      <c r="C10" s="23" t="s">
        <v>192</v>
      </c>
      <c r="D10" s="23" t="s">
        <v>186</v>
      </c>
      <c r="E10" s="23" t="s">
        <v>178</v>
      </c>
      <c r="F10" s="23" t="s">
        <v>187</v>
      </c>
      <c r="G10" s="23">
        <v>2021</v>
      </c>
      <c r="H10" s="32">
        <v>38000000</v>
      </c>
    </row>
    <row r="11" spans="1:8" x14ac:dyDescent="0.3">
      <c r="A11" s="23" t="s">
        <v>195</v>
      </c>
      <c r="B11" s="23" t="s">
        <v>175</v>
      </c>
      <c r="C11" s="23" t="s">
        <v>192</v>
      </c>
      <c r="D11" s="23" t="s">
        <v>189</v>
      </c>
      <c r="E11" s="23" t="s">
        <v>182</v>
      </c>
      <c r="F11" s="23" t="s">
        <v>183</v>
      </c>
      <c r="G11" s="23">
        <v>2023</v>
      </c>
      <c r="H11" s="32">
        <v>25000000</v>
      </c>
    </row>
    <row r="12" spans="1:8" x14ac:dyDescent="0.3">
      <c r="A12" s="23" t="s">
        <v>196</v>
      </c>
      <c r="B12" s="23" t="s">
        <v>185</v>
      </c>
      <c r="C12" s="23" t="s">
        <v>197</v>
      </c>
      <c r="D12" s="23" t="s">
        <v>177</v>
      </c>
      <c r="E12" s="23" t="s">
        <v>178</v>
      </c>
      <c r="F12" s="23" t="s">
        <v>187</v>
      </c>
      <c r="G12" s="23">
        <v>2013</v>
      </c>
      <c r="H12" s="32">
        <v>58000000</v>
      </c>
    </row>
    <row r="13" spans="1:8" x14ac:dyDescent="0.3">
      <c r="A13" s="23" t="s">
        <v>198</v>
      </c>
      <c r="B13" s="23" t="s">
        <v>175</v>
      </c>
      <c r="C13" s="23" t="s">
        <v>197</v>
      </c>
      <c r="D13" s="23" t="s">
        <v>181</v>
      </c>
      <c r="E13" s="23" t="s">
        <v>178</v>
      </c>
      <c r="F13" s="23" t="s">
        <v>183</v>
      </c>
      <c r="G13" s="23">
        <v>2019</v>
      </c>
      <c r="H13" s="32">
        <v>44000000</v>
      </c>
    </row>
    <row r="14" spans="1:8" x14ac:dyDescent="0.3">
      <c r="A14" s="23" t="s">
        <v>199</v>
      </c>
      <c r="B14" s="23" t="s">
        <v>185</v>
      </c>
      <c r="C14" s="23" t="s">
        <v>197</v>
      </c>
      <c r="D14" s="23" t="s">
        <v>186</v>
      </c>
      <c r="E14" s="23" t="s">
        <v>190</v>
      </c>
      <c r="F14" s="23" t="s">
        <v>179</v>
      </c>
      <c r="G14" s="23">
        <v>2021</v>
      </c>
      <c r="H14" s="32">
        <v>36000000</v>
      </c>
    </row>
    <row r="15" spans="1:8" x14ac:dyDescent="0.3">
      <c r="A15" s="23" t="s">
        <v>200</v>
      </c>
      <c r="B15" s="23" t="s">
        <v>185</v>
      </c>
      <c r="C15" s="23" t="s">
        <v>197</v>
      </c>
      <c r="D15" s="23" t="s">
        <v>189</v>
      </c>
      <c r="E15" s="23" t="s">
        <v>178</v>
      </c>
      <c r="F15" s="23" t="s">
        <v>187</v>
      </c>
      <c r="G15" s="23">
        <v>2023</v>
      </c>
      <c r="H15" s="32">
        <v>20000000</v>
      </c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G15"/>
  <sheetViews>
    <sheetView workbookViewId="0">
      <selection sqref="A1:G1"/>
    </sheetView>
  </sheetViews>
  <sheetFormatPr defaultRowHeight="16.5" x14ac:dyDescent="0.3"/>
  <cols>
    <col min="2" max="2" width="11" bestFit="1" customWidth="1"/>
    <col min="6" max="6" width="11" bestFit="1" customWidth="1"/>
    <col min="7" max="7" width="15" bestFit="1" customWidth="1"/>
  </cols>
  <sheetData>
    <row r="1" spans="1:7" ht="20.25" x14ac:dyDescent="0.3">
      <c r="A1" s="35" t="s">
        <v>104</v>
      </c>
      <c r="B1" s="35"/>
      <c r="C1" s="35"/>
      <c r="D1" s="35"/>
      <c r="E1" s="35"/>
      <c r="F1" s="35"/>
      <c r="G1" s="35"/>
    </row>
    <row r="3" spans="1:7" x14ac:dyDescent="0.3">
      <c r="A3" s="5" t="s">
        <v>11</v>
      </c>
      <c r="B3" s="5" t="s">
        <v>12</v>
      </c>
      <c r="C3" s="5" t="s">
        <v>13</v>
      </c>
      <c r="D3" s="5" t="s">
        <v>27</v>
      </c>
      <c r="E3" s="5" t="s">
        <v>14</v>
      </c>
      <c r="F3" s="5" t="s">
        <v>19</v>
      </c>
      <c r="G3" s="5" t="s">
        <v>31</v>
      </c>
    </row>
    <row r="4" spans="1:7" x14ac:dyDescent="0.3">
      <c r="A4" s="5" t="s">
        <v>32</v>
      </c>
      <c r="B4" s="5" t="s">
        <v>22</v>
      </c>
      <c r="C4" s="5" t="s">
        <v>26</v>
      </c>
      <c r="D4" s="12" t="s">
        <v>28</v>
      </c>
      <c r="E4" s="4">
        <v>600</v>
      </c>
      <c r="F4" s="5" t="s">
        <v>302</v>
      </c>
      <c r="G4" s="8">
        <v>15000000</v>
      </c>
    </row>
    <row r="5" spans="1:7" x14ac:dyDescent="0.3">
      <c r="A5" s="5" t="s">
        <v>15</v>
      </c>
      <c r="B5" s="5" t="s">
        <v>23</v>
      </c>
      <c r="C5" s="5" t="s">
        <v>26</v>
      </c>
      <c r="D5" s="12" t="s">
        <v>29</v>
      </c>
      <c r="E5" s="4">
        <v>1000</v>
      </c>
      <c r="F5" s="5" t="s">
        <v>303</v>
      </c>
      <c r="G5" s="8">
        <v>10000000</v>
      </c>
    </row>
    <row r="6" spans="1:7" x14ac:dyDescent="0.3">
      <c r="A6" s="5" t="s">
        <v>15</v>
      </c>
      <c r="B6" s="5" t="s">
        <v>21</v>
      </c>
      <c r="C6" s="5" t="s">
        <v>20</v>
      </c>
      <c r="D6" s="12" t="s">
        <v>30</v>
      </c>
      <c r="E6" s="4">
        <v>1500</v>
      </c>
      <c r="F6" s="5" t="s">
        <v>304</v>
      </c>
      <c r="G6" s="8">
        <v>8000000</v>
      </c>
    </row>
    <row r="7" spans="1:7" x14ac:dyDescent="0.3">
      <c r="A7" s="5" t="s">
        <v>16</v>
      </c>
      <c r="B7" s="5" t="s">
        <v>24</v>
      </c>
      <c r="C7" s="5" t="s">
        <v>26</v>
      </c>
      <c r="D7" s="12" t="s">
        <v>28</v>
      </c>
      <c r="E7" s="4">
        <v>800</v>
      </c>
      <c r="F7" s="5" t="s">
        <v>302</v>
      </c>
      <c r="G7" s="8">
        <v>10000000</v>
      </c>
    </row>
    <row r="8" spans="1:7" x14ac:dyDescent="0.3">
      <c r="A8" s="5" t="s">
        <v>16</v>
      </c>
      <c r="B8" s="5" t="s">
        <v>25</v>
      </c>
      <c r="C8" s="5" t="s">
        <v>26</v>
      </c>
      <c r="D8" s="12" t="s">
        <v>29</v>
      </c>
      <c r="E8" s="4">
        <v>1500</v>
      </c>
      <c r="F8" s="5" t="s">
        <v>304</v>
      </c>
      <c r="G8" s="8">
        <v>8000000</v>
      </c>
    </row>
    <row r="9" spans="1:7" x14ac:dyDescent="0.3">
      <c r="A9" s="5" t="s">
        <v>16</v>
      </c>
      <c r="B9" s="5" t="s">
        <v>21</v>
      </c>
      <c r="C9" s="5" t="s">
        <v>20</v>
      </c>
      <c r="D9" s="12" t="s">
        <v>30</v>
      </c>
      <c r="E9" s="4">
        <v>2000</v>
      </c>
      <c r="F9" s="5" t="s">
        <v>303</v>
      </c>
      <c r="G9" s="8">
        <v>6000000</v>
      </c>
    </row>
    <row r="10" spans="1:7" x14ac:dyDescent="0.3">
      <c r="A10" s="5" t="s">
        <v>17</v>
      </c>
      <c r="B10" s="5" t="s">
        <v>25</v>
      </c>
      <c r="C10" s="5" t="s">
        <v>26</v>
      </c>
      <c r="D10" s="12" t="s">
        <v>28</v>
      </c>
      <c r="E10" s="4">
        <v>500</v>
      </c>
      <c r="F10" s="5" t="s">
        <v>302</v>
      </c>
      <c r="G10" s="8">
        <v>10000000</v>
      </c>
    </row>
    <row r="11" spans="1:7" x14ac:dyDescent="0.3">
      <c r="A11" s="5" t="s">
        <v>17</v>
      </c>
      <c r="B11" s="5" t="s">
        <v>22</v>
      </c>
      <c r="C11" s="5" t="s">
        <v>26</v>
      </c>
      <c r="D11" s="12" t="s">
        <v>29</v>
      </c>
      <c r="E11" s="4">
        <v>800</v>
      </c>
      <c r="F11" s="5" t="s">
        <v>305</v>
      </c>
      <c r="G11" s="8">
        <v>7500000</v>
      </c>
    </row>
    <row r="12" spans="1:7" x14ac:dyDescent="0.3">
      <c r="A12" s="5" t="s">
        <v>17</v>
      </c>
      <c r="B12" s="5" t="s">
        <v>21</v>
      </c>
      <c r="C12" s="5" t="s">
        <v>20</v>
      </c>
      <c r="D12" s="12" t="s">
        <v>30</v>
      </c>
      <c r="E12" s="4">
        <v>1000</v>
      </c>
      <c r="F12" s="5" t="s">
        <v>303</v>
      </c>
      <c r="G12" s="8">
        <v>5500000</v>
      </c>
    </row>
    <row r="13" spans="1:7" x14ac:dyDescent="0.3">
      <c r="A13" s="5" t="s">
        <v>18</v>
      </c>
      <c r="B13" s="5" t="s">
        <v>24</v>
      </c>
      <c r="C13" s="5" t="s">
        <v>26</v>
      </c>
      <c r="D13" s="12" t="s">
        <v>28</v>
      </c>
      <c r="E13" s="4">
        <v>700</v>
      </c>
      <c r="F13" s="5" t="s">
        <v>305</v>
      </c>
      <c r="G13" s="8">
        <v>8000000</v>
      </c>
    </row>
    <row r="14" spans="1:7" x14ac:dyDescent="0.3">
      <c r="A14" s="5" t="s">
        <v>18</v>
      </c>
      <c r="B14" s="5" t="s">
        <v>23</v>
      </c>
      <c r="C14" s="5" t="s">
        <v>26</v>
      </c>
      <c r="D14" s="12" t="s">
        <v>29</v>
      </c>
      <c r="E14" s="4">
        <v>1300</v>
      </c>
      <c r="F14" s="5" t="s">
        <v>305</v>
      </c>
      <c r="G14" s="8">
        <v>7000000</v>
      </c>
    </row>
    <row r="15" spans="1:7" x14ac:dyDescent="0.3">
      <c r="A15" s="5" t="s">
        <v>18</v>
      </c>
      <c r="B15" s="5" t="s">
        <v>21</v>
      </c>
      <c r="C15" s="5" t="s">
        <v>20</v>
      </c>
      <c r="D15" s="12" t="s">
        <v>30</v>
      </c>
      <c r="E15" s="4">
        <v>1400</v>
      </c>
      <c r="F15" s="5" t="s">
        <v>302</v>
      </c>
      <c r="G15" s="8">
        <v>5000000</v>
      </c>
    </row>
  </sheetData>
  <mergeCells count="1">
    <mergeCell ref="A1:G1"/>
  </mergeCells>
  <phoneticPr fontId="1" type="noConversion"/>
  <conditionalFormatting sqref="A4:G15">
    <cfRule type="expression" dxfId="1" priority="1">
      <formula>AND($C4="일반",$G4&lt;10000000)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8"/>
  <sheetViews>
    <sheetView zoomScaleNormal="100" workbookViewId="0"/>
  </sheetViews>
  <sheetFormatPr defaultRowHeight="16.5" x14ac:dyDescent="0.3"/>
  <cols>
    <col min="2" max="2" width="9.75" customWidth="1"/>
    <col min="3" max="5" width="8.125" customWidth="1"/>
    <col min="6" max="6" width="10.875" bestFit="1" customWidth="1"/>
    <col min="7" max="7" width="3.625" customWidth="1"/>
    <col min="9" max="11" width="9.625" customWidth="1"/>
    <col min="12" max="12" width="13" bestFit="1" customWidth="1"/>
    <col min="13" max="13" width="2.625" customWidth="1"/>
    <col min="15" max="15" width="9.5" bestFit="1" customWidth="1"/>
  </cols>
  <sheetData>
    <row r="1" spans="1:15" x14ac:dyDescent="0.3">
      <c r="A1" s="7" t="s">
        <v>0</v>
      </c>
      <c r="B1" s="3" t="s">
        <v>105</v>
      </c>
      <c r="H1" s="7" t="s">
        <v>46</v>
      </c>
      <c r="I1" s="3" t="s">
        <v>239</v>
      </c>
    </row>
    <row r="2" spans="1:15" x14ac:dyDescent="0.3">
      <c r="A2" s="5" t="s">
        <v>47</v>
      </c>
      <c r="B2" s="5" t="s">
        <v>61</v>
      </c>
      <c r="C2" s="5" t="s">
        <v>48</v>
      </c>
      <c r="D2" s="5" t="s">
        <v>49</v>
      </c>
      <c r="E2" s="5" t="s">
        <v>50</v>
      </c>
      <c r="F2" s="5" t="s">
        <v>60</v>
      </c>
      <c r="H2" s="5" t="s">
        <v>33</v>
      </c>
      <c r="I2" s="5" t="s">
        <v>34</v>
      </c>
      <c r="J2" s="5" t="s">
        <v>35</v>
      </c>
      <c r="K2" s="5" t="s">
        <v>36</v>
      </c>
      <c r="L2" s="6" t="s">
        <v>40</v>
      </c>
      <c r="N2" s="11" t="s">
        <v>44</v>
      </c>
    </row>
    <row r="3" spans="1:15" x14ac:dyDescent="0.3">
      <c r="A3" s="5" t="s">
        <v>51</v>
      </c>
      <c r="B3" s="5" t="s">
        <v>62</v>
      </c>
      <c r="C3" s="5">
        <v>88</v>
      </c>
      <c r="D3" s="5">
        <v>89</v>
      </c>
      <c r="E3" s="5">
        <v>90</v>
      </c>
      <c r="F3" s="5">
        <f>C3+D3+E3</f>
        <v>267</v>
      </c>
      <c r="H3" s="5" t="s">
        <v>37</v>
      </c>
      <c r="I3" s="5" t="s">
        <v>41</v>
      </c>
      <c r="J3" s="5">
        <v>65</v>
      </c>
      <c r="K3" s="5">
        <v>35</v>
      </c>
      <c r="L3" s="8">
        <f>J3*VLOOKUP(H3,$N$4:$O$6,2,FALSE)</f>
        <v>52000000</v>
      </c>
      <c r="N3" s="5" t="s">
        <v>33</v>
      </c>
      <c r="O3" s="5" t="s">
        <v>45</v>
      </c>
    </row>
    <row r="4" spans="1:15" x14ac:dyDescent="0.3">
      <c r="A4" s="5" t="s">
        <v>52</v>
      </c>
      <c r="B4" s="5" t="s">
        <v>63</v>
      </c>
      <c r="C4" s="5">
        <v>79</v>
      </c>
      <c r="D4" s="5">
        <v>85</v>
      </c>
      <c r="E4" s="5">
        <v>69</v>
      </c>
      <c r="F4" s="5">
        <f>C4+D4+E4</f>
        <v>233</v>
      </c>
      <c r="H4" s="5" t="s">
        <v>37</v>
      </c>
      <c r="I4" s="5" t="s">
        <v>42</v>
      </c>
      <c r="J4" s="5">
        <v>80</v>
      </c>
      <c r="K4" s="5">
        <v>20</v>
      </c>
      <c r="L4" s="8">
        <f t="shared" ref="L4:L11" si="0">J4*VLOOKUP(H4,$N$4:$O$6,2,FALSE)</f>
        <v>64000000</v>
      </c>
      <c r="N4" s="4" t="s">
        <v>37</v>
      </c>
      <c r="O4" s="4">
        <v>800000</v>
      </c>
    </row>
    <row r="5" spans="1:15" x14ac:dyDescent="0.3">
      <c r="A5" s="5" t="s">
        <v>53</v>
      </c>
      <c r="B5" s="5" t="s">
        <v>62</v>
      </c>
      <c r="C5" s="5">
        <v>92</v>
      </c>
      <c r="D5" s="5">
        <v>90</v>
      </c>
      <c r="E5" s="5">
        <v>89</v>
      </c>
      <c r="F5" s="5">
        <f t="shared" ref="F5:F11" si="1">C5+D5+E5</f>
        <v>271</v>
      </c>
      <c r="H5" s="5" t="s">
        <v>37</v>
      </c>
      <c r="I5" s="5" t="s">
        <v>43</v>
      </c>
      <c r="J5" s="5">
        <v>77</v>
      </c>
      <c r="K5" s="5">
        <v>23</v>
      </c>
      <c r="L5" s="8">
        <f t="shared" si="0"/>
        <v>61600000</v>
      </c>
      <c r="N5" s="4" t="s">
        <v>38</v>
      </c>
      <c r="O5" s="4">
        <v>12000000</v>
      </c>
    </row>
    <row r="6" spans="1:15" x14ac:dyDescent="0.3">
      <c r="A6" s="5" t="s">
        <v>54</v>
      </c>
      <c r="B6" s="5" t="s">
        <v>63</v>
      </c>
      <c r="C6" s="5">
        <v>94</v>
      </c>
      <c r="D6" s="5">
        <v>95</v>
      </c>
      <c r="E6" s="5">
        <v>89</v>
      </c>
      <c r="F6" s="5">
        <f t="shared" si="1"/>
        <v>278</v>
      </c>
      <c r="H6" s="5" t="s">
        <v>38</v>
      </c>
      <c r="I6" s="5" t="s">
        <v>41</v>
      </c>
      <c r="J6" s="5">
        <v>61</v>
      </c>
      <c r="K6" s="5">
        <v>39</v>
      </c>
      <c r="L6" s="8">
        <f t="shared" si="0"/>
        <v>732000000</v>
      </c>
      <c r="N6" s="4" t="s">
        <v>39</v>
      </c>
      <c r="O6" s="4">
        <v>1000000</v>
      </c>
    </row>
    <row r="7" spans="1:15" x14ac:dyDescent="0.3">
      <c r="A7" s="5" t="s">
        <v>55</v>
      </c>
      <c r="B7" s="5" t="s">
        <v>63</v>
      </c>
      <c r="C7" s="5">
        <v>86</v>
      </c>
      <c r="D7" s="5">
        <v>92</v>
      </c>
      <c r="E7" s="5">
        <v>90</v>
      </c>
      <c r="F7" s="5">
        <f t="shared" si="1"/>
        <v>268</v>
      </c>
      <c r="H7" s="5" t="s">
        <v>38</v>
      </c>
      <c r="I7" s="5" t="s">
        <v>42</v>
      </c>
      <c r="J7" s="5">
        <v>82</v>
      </c>
      <c r="K7" s="5">
        <v>18</v>
      </c>
      <c r="L7" s="8">
        <f t="shared" si="0"/>
        <v>984000000</v>
      </c>
    </row>
    <row r="8" spans="1:15" x14ac:dyDescent="0.3">
      <c r="A8" s="5" t="s">
        <v>56</v>
      </c>
      <c r="B8" s="5" t="s">
        <v>62</v>
      </c>
      <c r="C8" s="5">
        <v>90</v>
      </c>
      <c r="D8" s="5">
        <v>95</v>
      </c>
      <c r="E8" s="5">
        <v>92</v>
      </c>
      <c r="F8" s="5">
        <f t="shared" si="1"/>
        <v>277</v>
      </c>
      <c r="H8" s="5" t="s">
        <v>38</v>
      </c>
      <c r="I8" s="5" t="s">
        <v>43</v>
      </c>
      <c r="J8" s="5">
        <v>74</v>
      </c>
      <c r="K8" s="5">
        <v>26</v>
      </c>
      <c r="L8" s="8">
        <f t="shared" si="0"/>
        <v>888000000</v>
      </c>
    </row>
    <row r="9" spans="1:15" x14ac:dyDescent="0.3">
      <c r="A9" s="5" t="s">
        <v>57</v>
      </c>
      <c r="B9" s="5" t="s">
        <v>62</v>
      </c>
      <c r="C9" s="5">
        <v>88</v>
      </c>
      <c r="D9" s="5">
        <v>84</v>
      </c>
      <c r="E9" s="5">
        <v>80</v>
      </c>
      <c r="F9" s="5">
        <f t="shared" si="1"/>
        <v>252</v>
      </c>
      <c r="H9" s="5" t="s">
        <v>39</v>
      </c>
      <c r="I9" s="5" t="s">
        <v>41</v>
      </c>
      <c r="J9" s="5">
        <v>73</v>
      </c>
      <c r="K9" s="5">
        <v>27</v>
      </c>
      <c r="L9" s="8">
        <f t="shared" si="0"/>
        <v>73000000</v>
      </c>
    </row>
    <row r="10" spans="1:15" x14ac:dyDescent="0.3">
      <c r="A10" s="5" t="s">
        <v>58</v>
      </c>
      <c r="B10" s="5" t="s">
        <v>63</v>
      </c>
      <c r="C10" s="5">
        <v>77</v>
      </c>
      <c r="D10" s="5">
        <v>80</v>
      </c>
      <c r="E10" s="5">
        <v>79</v>
      </c>
      <c r="F10" s="5">
        <f t="shared" si="1"/>
        <v>236</v>
      </c>
      <c r="H10" s="5" t="s">
        <v>39</v>
      </c>
      <c r="I10" s="5" t="s">
        <v>42</v>
      </c>
      <c r="J10" s="5">
        <v>86</v>
      </c>
      <c r="K10" s="5">
        <v>14</v>
      </c>
      <c r="L10" s="8">
        <f t="shared" si="0"/>
        <v>86000000</v>
      </c>
    </row>
    <row r="11" spans="1:15" x14ac:dyDescent="0.3">
      <c r="A11" s="5" t="s">
        <v>59</v>
      </c>
      <c r="B11" s="5" t="s">
        <v>63</v>
      </c>
      <c r="C11" s="5">
        <v>80</v>
      </c>
      <c r="D11" s="5">
        <v>85</v>
      </c>
      <c r="E11" s="5">
        <v>90</v>
      </c>
      <c r="F11" s="5">
        <f t="shared" si="1"/>
        <v>255</v>
      </c>
      <c r="H11" s="5" t="s">
        <v>39</v>
      </c>
      <c r="I11" s="5" t="s">
        <v>43</v>
      </c>
      <c r="J11" s="5">
        <v>89</v>
      </c>
      <c r="K11" s="5">
        <v>11</v>
      </c>
      <c r="L11" s="8">
        <f t="shared" si="0"/>
        <v>89000000</v>
      </c>
    </row>
    <row r="13" spans="1:15" x14ac:dyDescent="0.3">
      <c r="A13" t="s">
        <v>8</v>
      </c>
      <c r="B13" t="s">
        <v>286</v>
      </c>
      <c r="C13" t="s">
        <v>50</v>
      </c>
      <c r="D13" s="36" t="s">
        <v>64</v>
      </c>
      <c r="E13" s="37"/>
      <c r="F13" s="38"/>
      <c r="H13" s="7" t="s">
        <v>2</v>
      </c>
      <c r="I13" s="3" t="s">
        <v>240</v>
      </c>
    </row>
    <row r="14" spans="1:15" x14ac:dyDescent="0.3">
      <c r="A14" t="s">
        <v>63</v>
      </c>
      <c r="B14" t="s">
        <v>287</v>
      </c>
      <c r="D14" s="39">
        <f>DAVERAGE(A2:F11,F2,A13:C15)</f>
        <v>272.5</v>
      </c>
      <c r="E14" s="40"/>
      <c r="F14" s="41"/>
      <c r="H14" s="5" t="s">
        <v>99</v>
      </c>
      <c r="I14" s="5" t="s">
        <v>100</v>
      </c>
      <c r="J14" s="5" t="s">
        <v>101</v>
      </c>
      <c r="K14" s="5" t="s">
        <v>102</v>
      </c>
      <c r="L14" s="42" t="s">
        <v>103</v>
      </c>
    </row>
    <row r="15" spans="1:15" x14ac:dyDescent="0.3">
      <c r="A15" t="s">
        <v>62</v>
      </c>
      <c r="C15" t="s">
        <v>287</v>
      </c>
      <c r="H15" s="5" t="s">
        <v>67</v>
      </c>
      <c r="I15" s="5">
        <v>5535</v>
      </c>
      <c r="J15" s="5">
        <v>6021</v>
      </c>
      <c r="K15" s="5">
        <v>4831</v>
      </c>
      <c r="L15" s="43"/>
    </row>
    <row r="16" spans="1:15" x14ac:dyDescent="0.3">
      <c r="H16" s="5" t="s">
        <v>68</v>
      </c>
      <c r="I16" s="5">
        <v>5468</v>
      </c>
      <c r="J16" s="5">
        <v>6871</v>
      </c>
      <c r="K16" s="5">
        <v>5001</v>
      </c>
      <c r="L16" s="4">
        <f>ROUNDDOWN(_xlfn.STDEV.S(J15:J26),1)</f>
        <v>261.60000000000002</v>
      </c>
    </row>
    <row r="17" spans="1:11" x14ac:dyDescent="0.3">
      <c r="A17" s="7" t="s">
        <v>1</v>
      </c>
      <c r="B17" s="3" t="s">
        <v>106</v>
      </c>
      <c r="F17" t="s">
        <v>88</v>
      </c>
      <c r="H17" s="5" t="s">
        <v>70</v>
      </c>
      <c r="I17" s="5">
        <v>5724</v>
      </c>
      <c r="J17" s="5">
        <v>6278</v>
      </c>
      <c r="K17" s="5">
        <v>4835</v>
      </c>
    </row>
    <row r="18" spans="1:11" x14ac:dyDescent="0.3">
      <c r="A18" s="5" t="s">
        <v>65</v>
      </c>
      <c r="B18" s="5" t="s">
        <v>66</v>
      </c>
      <c r="C18" s="5" t="s">
        <v>67</v>
      </c>
      <c r="D18" s="5" t="s">
        <v>69</v>
      </c>
      <c r="E18" s="5" t="s">
        <v>71</v>
      </c>
      <c r="F18" s="6" t="s">
        <v>72</v>
      </c>
      <c r="H18" s="5" t="s">
        <v>89</v>
      </c>
      <c r="I18" s="5">
        <v>5689</v>
      </c>
      <c r="J18" s="5">
        <v>6389</v>
      </c>
      <c r="K18" s="5">
        <v>4297</v>
      </c>
    </row>
    <row r="19" spans="1:11" x14ac:dyDescent="0.3">
      <c r="A19" s="5" t="s">
        <v>80</v>
      </c>
      <c r="B19" s="5" t="s">
        <v>73</v>
      </c>
      <c r="C19" s="13">
        <v>6500</v>
      </c>
      <c r="D19" s="13">
        <v>7560</v>
      </c>
      <c r="E19" s="13">
        <v>8020</v>
      </c>
      <c r="F19" s="5" t="str">
        <f>IF(AND(C19&gt;=AVERAGE($C$19:$C$26),D19&gt;=AVERAGE($D$19:$D$26),E19&gt;=AVERAGE($E$19:$E$26)),"효자도서","")</f>
        <v/>
      </c>
      <c r="H19" s="5" t="s">
        <v>90</v>
      </c>
      <c r="I19" s="5">
        <v>5179</v>
      </c>
      <c r="J19" s="5">
        <v>6172</v>
      </c>
      <c r="K19" s="5">
        <v>5017</v>
      </c>
    </row>
    <row r="20" spans="1:11" x14ac:dyDescent="0.3">
      <c r="A20" s="5" t="s">
        <v>81</v>
      </c>
      <c r="B20" s="5" t="s">
        <v>74</v>
      </c>
      <c r="C20" s="13">
        <v>8620</v>
      </c>
      <c r="D20" s="13">
        <v>7925</v>
      </c>
      <c r="E20" s="13">
        <v>7620</v>
      </c>
      <c r="F20" s="5" t="str">
        <f t="shared" ref="F20:F26" si="2">IF(AND(C20&gt;=AVERAGE($C$19:$C$26),D20&gt;=AVERAGE($D$19:$D$26),E20&gt;=AVERAGE($E$19:$E$26)),"효자도서","")</f>
        <v/>
      </c>
      <c r="H20" s="5" t="s">
        <v>91</v>
      </c>
      <c r="I20" s="5">
        <v>5348</v>
      </c>
      <c r="J20" s="5">
        <v>6008</v>
      </c>
      <c r="K20" s="5">
        <v>4983</v>
      </c>
    </row>
    <row r="21" spans="1:11" x14ac:dyDescent="0.3">
      <c r="A21" s="5" t="s">
        <v>82</v>
      </c>
      <c r="B21" s="5" t="s">
        <v>75</v>
      </c>
      <c r="C21" s="13">
        <v>8802</v>
      </c>
      <c r="D21" s="13">
        <v>8357</v>
      </c>
      <c r="E21" s="13">
        <v>8687</v>
      </c>
      <c r="F21" s="5" t="str">
        <f t="shared" si="2"/>
        <v>효자도서</v>
      </c>
      <c r="H21" s="5" t="s">
        <v>92</v>
      </c>
      <c r="I21" s="5">
        <v>5493</v>
      </c>
      <c r="J21" s="5">
        <v>6217</v>
      </c>
      <c r="K21" s="5">
        <v>4998</v>
      </c>
    </row>
    <row r="22" spans="1:11" x14ac:dyDescent="0.3">
      <c r="A22" s="5" t="s">
        <v>86</v>
      </c>
      <c r="B22" s="5" t="s">
        <v>76</v>
      </c>
      <c r="C22" s="13">
        <v>7896</v>
      </c>
      <c r="D22" s="13">
        <v>7900</v>
      </c>
      <c r="E22" s="13">
        <v>8240</v>
      </c>
      <c r="F22" s="5" t="str">
        <f t="shared" si="2"/>
        <v/>
      </c>
      <c r="H22" s="5" t="s">
        <v>93</v>
      </c>
      <c r="I22" s="5">
        <v>5157</v>
      </c>
      <c r="J22" s="5">
        <v>6397</v>
      </c>
      <c r="K22" s="5">
        <v>4328</v>
      </c>
    </row>
    <row r="23" spans="1:11" x14ac:dyDescent="0.3">
      <c r="A23" s="5" t="s">
        <v>83</v>
      </c>
      <c r="B23" s="5" t="s">
        <v>77</v>
      </c>
      <c r="C23" s="13">
        <v>8438</v>
      </c>
      <c r="D23" s="13">
        <v>8320</v>
      </c>
      <c r="E23" s="13">
        <v>8345</v>
      </c>
      <c r="F23" s="5" t="str">
        <f t="shared" si="2"/>
        <v>효자도서</v>
      </c>
      <c r="H23" s="5" t="s">
        <v>94</v>
      </c>
      <c r="I23" s="5">
        <v>5537</v>
      </c>
      <c r="J23" s="5">
        <v>6284</v>
      </c>
      <c r="K23" s="5">
        <v>4682</v>
      </c>
    </row>
    <row r="24" spans="1:11" x14ac:dyDescent="0.3">
      <c r="A24" s="5" t="s">
        <v>84</v>
      </c>
      <c r="B24" s="5" t="s">
        <v>78</v>
      </c>
      <c r="C24" s="13">
        <v>6874</v>
      </c>
      <c r="D24" s="13">
        <v>7000</v>
      </c>
      <c r="E24" s="13">
        <v>7320</v>
      </c>
      <c r="F24" s="5" t="str">
        <f t="shared" si="2"/>
        <v/>
      </c>
      <c r="H24" s="5" t="s">
        <v>95</v>
      </c>
      <c r="I24" s="5">
        <v>5399</v>
      </c>
      <c r="J24" s="5">
        <v>6316</v>
      </c>
      <c r="K24" s="5">
        <v>4179</v>
      </c>
    </row>
    <row r="25" spans="1:11" x14ac:dyDescent="0.3">
      <c r="A25" s="5" t="s">
        <v>85</v>
      </c>
      <c r="B25" s="5" t="s">
        <v>37</v>
      </c>
      <c r="C25" s="13">
        <v>8576</v>
      </c>
      <c r="D25" s="13">
        <v>7982</v>
      </c>
      <c r="E25" s="13">
        <v>8800</v>
      </c>
      <c r="F25" s="5" t="str">
        <f t="shared" si="2"/>
        <v/>
      </c>
      <c r="H25" s="5" t="s">
        <v>96</v>
      </c>
      <c r="I25" s="5">
        <v>5176</v>
      </c>
      <c r="J25" s="5">
        <v>6784</v>
      </c>
      <c r="K25" s="5">
        <v>4385</v>
      </c>
    </row>
    <row r="26" spans="1:11" x14ac:dyDescent="0.3">
      <c r="A26" s="5" t="s">
        <v>87</v>
      </c>
      <c r="B26" s="5" t="s">
        <v>79</v>
      </c>
      <c r="C26" s="13">
        <v>9318</v>
      </c>
      <c r="D26" s="13">
        <v>8972</v>
      </c>
      <c r="E26" s="13">
        <v>9200</v>
      </c>
      <c r="F26" s="5" t="str">
        <f t="shared" si="2"/>
        <v>효자도서</v>
      </c>
      <c r="H26" s="5" t="s">
        <v>97</v>
      </c>
      <c r="I26" s="5">
        <v>5697</v>
      </c>
      <c r="J26" s="5">
        <v>6418</v>
      </c>
      <c r="K26" s="5">
        <v>4267</v>
      </c>
    </row>
    <row r="28" spans="1:11" x14ac:dyDescent="0.3">
      <c r="A28" s="7" t="s">
        <v>3</v>
      </c>
      <c r="B28" s="3" t="s">
        <v>241</v>
      </c>
    </row>
    <row r="29" spans="1:11" x14ac:dyDescent="0.3">
      <c r="A29" s="5" t="s">
        <v>47</v>
      </c>
      <c r="B29" s="5" t="s">
        <v>61</v>
      </c>
      <c r="C29" s="5" t="s">
        <v>107</v>
      </c>
      <c r="D29" s="5" t="s">
        <v>108</v>
      </c>
      <c r="E29" s="15" t="s">
        <v>110</v>
      </c>
      <c r="F29" s="5" t="s">
        <v>109</v>
      </c>
      <c r="H29" s="45" t="s">
        <v>121</v>
      </c>
      <c r="I29" s="45"/>
    </row>
    <row r="30" spans="1:11" x14ac:dyDescent="0.3">
      <c r="A30" s="5" t="s">
        <v>111</v>
      </c>
      <c r="B30" s="5" t="s">
        <v>63</v>
      </c>
      <c r="C30" s="13" t="s">
        <v>120</v>
      </c>
      <c r="D30" s="14" t="s">
        <v>124</v>
      </c>
      <c r="E30" s="16">
        <v>5</v>
      </c>
      <c r="F30" s="13">
        <v>2000000</v>
      </c>
      <c r="H30" s="44">
        <f>SUMIF(C30:C38,"영업부",F30:F38)</f>
        <v>3900000</v>
      </c>
      <c r="I30" s="44"/>
    </row>
    <row r="31" spans="1:11" x14ac:dyDescent="0.3">
      <c r="A31" s="5" t="s">
        <v>112</v>
      </c>
      <c r="B31" s="5" t="s">
        <v>62</v>
      </c>
      <c r="C31" s="13" t="s">
        <v>123</v>
      </c>
      <c r="D31" s="14" t="s">
        <v>124</v>
      </c>
      <c r="E31" s="10">
        <v>6</v>
      </c>
      <c r="F31" s="13">
        <v>2200000</v>
      </c>
    </row>
    <row r="32" spans="1:11" x14ac:dyDescent="0.3">
      <c r="A32" s="5" t="s">
        <v>113</v>
      </c>
      <c r="B32" s="5" t="s">
        <v>62</v>
      </c>
      <c r="C32" s="13" t="s">
        <v>122</v>
      </c>
      <c r="D32" s="14" t="s">
        <v>124</v>
      </c>
      <c r="E32" s="10">
        <v>7</v>
      </c>
      <c r="F32" s="13">
        <v>2400000</v>
      </c>
    </row>
    <row r="33" spans="1:6" x14ac:dyDescent="0.3">
      <c r="A33" s="5" t="s">
        <v>114</v>
      </c>
      <c r="B33" s="5" t="s">
        <v>63</v>
      </c>
      <c r="C33" s="13" t="s">
        <v>123</v>
      </c>
      <c r="D33" s="14" t="s">
        <v>125</v>
      </c>
      <c r="E33" s="10">
        <v>3</v>
      </c>
      <c r="F33" s="13">
        <v>1300000</v>
      </c>
    </row>
    <row r="34" spans="1:6" x14ac:dyDescent="0.3">
      <c r="A34" s="5" t="s">
        <v>115</v>
      </c>
      <c r="B34" s="5" t="s">
        <v>63</v>
      </c>
      <c r="C34" s="13" t="s">
        <v>120</v>
      </c>
      <c r="D34" s="14" t="s">
        <v>125</v>
      </c>
      <c r="E34" s="10">
        <v>1</v>
      </c>
      <c r="F34" s="13">
        <v>1100000</v>
      </c>
    </row>
    <row r="35" spans="1:6" x14ac:dyDescent="0.3">
      <c r="A35" s="5" t="s">
        <v>116</v>
      </c>
      <c r="B35" s="5" t="s">
        <v>62</v>
      </c>
      <c r="C35" s="13" t="s">
        <v>122</v>
      </c>
      <c r="D35" s="14" t="s">
        <v>125</v>
      </c>
      <c r="E35" s="10">
        <v>4</v>
      </c>
      <c r="F35" s="13">
        <v>1400000</v>
      </c>
    </row>
    <row r="36" spans="1:6" x14ac:dyDescent="0.3">
      <c r="A36" s="5" t="s">
        <v>117</v>
      </c>
      <c r="B36" s="5" t="s">
        <v>62</v>
      </c>
      <c r="C36" s="13" t="s">
        <v>122</v>
      </c>
      <c r="D36" s="14" t="s">
        <v>126</v>
      </c>
      <c r="E36" s="10">
        <v>2</v>
      </c>
      <c r="F36" s="13">
        <v>850000</v>
      </c>
    </row>
    <row r="37" spans="1:6" x14ac:dyDescent="0.3">
      <c r="A37" s="5" t="s">
        <v>118</v>
      </c>
      <c r="B37" s="5" t="s">
        <v>62</v>
      </c>
      <c r="C37" s="13" t="s">
        <v>120</v>
      </c>
      <c r="D37" s="14" t="s">
        <v>126</v>
      </c>
      <c r="E37" s="10">
        <v>1</v>
      </c>
      <c r="F37" s="13">
        <v>800000</v>
      </c>
    </row>
    <row r="38" spans="1:6" x14ac:dyDescent="0.3">
      <c r="A38" s="5" t="s">
        <v>119</v>
      </c>
      <c r="B38" s="5" t="s">
        <v>63</v>
      </c>
      <c r="C38" s="5" t="s">
        <v>123</v>
      </c>
      <c r="D38" s="5" t="s">
        <v>126</v>
      </c>
      <c r="E38" s="5">
        <v>2</v>
      </c>
      <c r="F38" s="8">
        <v>850000</v>
      </c>
    </row>
  </sheetData>
  <mergeCells count="5">
    <mergeCell ref="D13:F13"/>
    <mergeCell ref="D14:F14"/>
    <mergeCell ref="L14:L15"/>
    <mergeCell ref="H30:I30"/>
    <mergeCell ref="H29:I29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26"/>
  <sheetViews>
    <sheetView workbookViewId="0">
      <selection sqref="A1:H1"/>
    </sheetView>
  </sheetViews>
  <sheetFormatPr defaultRowHeight="16.5" x14ac:dyDescent="0.3"/>
  <cols>
    <col min="1" max="1" width="17.375" customWidth="1"/>
    <col min="2" max="4" width="14.875" bestFit="1" customWidth="1"/>
    <col min="5" max="5" width="12" customWidth="1"/>
    <col min="6" max="7" width="9" customWidth="1"/>
    <col min="8" max="8" width="13" bestFit="1" customWidth="1"/>
  </cols>
  <sheetData>
    <row r="1" spans="1:8" ht="20.25" x14ac:dyDescent="0.3">
      <c r="A1" s="35" t="s">
        <v>132</v>
      </c>
      <c r="B1" s="35"/>
      <c r="C1" s="35"/>
      <c r="D1" s="35"/>
      <c r="E1" s="35"/>
      <c r="F1" s="35"/>
      <c r="G1" s="35"/>
      <c r="H1" s="35"/>
    </row>
    <row r="3" spans="1:8" x14ac:dyDescent="0.3">
      <c r="A3" s="5" t="s">
        <v>129</v>
      </c>
      <c r="B3" s="5" t="s">
        <v>98</v>
      </c>
      <c r="C3" s="5" t="s">
        <v>133</v>
      </c>
      <c r="D3" s="5" t="s">
        <v>137</v>
      </c>
      <c r="E3" s="5" t="s">
        <v>131</v>
      </c>
      <c r="F3" s="5" t="s">
        <v>130</v>
      </c>
      <c r="G3" s="5" t="s">
        <v>128</v>
      </c>
      <c r="H3" s="5" t="s">
        <v>127</v>
      </c>
    </row>
    <row r="4" spans="1:8" x14ac:dyDescent="0.3">
      <c r="A4" s="17" t="s">
        <v>242</v>
      </c>
      <c r="B4" s="18">
        <v>45000</v>
      </c>
      <c r="C4" s="17" t="s">
        <v>134</v>
      </c>
      <c r="D4" s="17" t="s">
        <v>138</v>
      </c>
      <c r="E4" s="17">
        <v>980</v>
      </c>
      <c r="F4" s="19">
        <v>100000</v>
      </c>
      <c r="G4" s="20">
        <v>9.1000000000000004E-3</v>
      </c>
      <c r="H4" s="8">
        <f>F4*E4+(E4*F4)*35%</f>
        <v>132300000</v>
      </c>
    </row>
    <row r="5" spans="1:8" x14ac:dyDescent="0.3">
      <c r="A5" s="17" t="s">
        <v>243</v>
      </c>
      <c r="B5" s="18">
        <v>45020</v>
      </c>
      <c r="C5" s="17" t="s">
        <v>134</v>
      </c>
      <c r="D5" s="17" t="s">
        <v>139</v>
      </c>
      <c r="E5" s="17">
        <v>540</v>
      </c>
      <c r="F5" s="19">
        <v>110000</v>
      </c>
      <c r="G5" s="20">
        <v>6.4999999999999997E-3</v>
      </c>
      <c r="H5" s="8">
        <f t="shared" ref="H5:H15" si="0">F5*E5+(E5*F5)*35%</f>
        <v>80190000</v>
      </c>
    </row>
    <row r="6" spans="1:8" x14ac:dyDescent="0.3">
      <c r="A6" s="17" t="s">
        <v>244</v>
      </c>
      <c r="B6" s="18">
        <v>45062</v>
      </c>
      <c r="C6" s="17" t="s">
        <v>134</v>
      </c>
      <c r="D6" s="17" t="s">
        <v>141</v>
      </c>
      <c r="E6" s="17">
        <v>700</v>
      </c>
      <c r="F6" s="19">
        <v>135000</v>
      </c>
      <c r="G6" s="20">
        <v>5.3E-3</v>
      </c>
      <c r="H6" s="8">
        <f t="shared" si="0"/>
        <v>127575000</v>
      </c>
    </row>
    <row r="7" spans="1:8" x14ac:dyDescent="0.3">
      <c r="A7" s="17" t="s">
        <v>242</v>
      </c>
      <c r="B7" s="18">
        <v>45082</v>
      </c>
      <c r="C7" s="17" t="s">
        <v>134</v>
      </c>
      <c r="D7" s="17" t="s">
        <v>140</v>
      </c>
      <c r="E7" s="17">
        <v>980</v>
      </c>
      <c r="F7" s="19">
        <v>120000</v>
      </c>
      <c r="G7" s="20">
        <v>5.4000000000000003E-3</v>
      </c>
      <c r="H7" s="8">
        <f t="shared" si="0"/>
        <v>158760000</v>
      </c>
    </row>
    <row r="8" spans="1:8" x14ac:dyDescent="0.3">
      <c r="A8" s="17" t="s">
        <v>243</v>
      </c>
      <c r="B8" s="18">
        <v>45004</v>
      </c>
      <c r="C8" s="17" t="s">
        <v>135</v>
      </c>
      <c r="D8" s="17" t="s">
        <v>138</v>
      </c>
      <c r="E8" s="17">
        <v>540</v>
      </c>
      <c r="F8" s="19">
        <v>135000</v>
      </c>
      <c r="G8" s="20">
        <v>5.7999999999999996E-3</v>
      </c>
      <c r="H8" s="8">
        <f t="shared" si="0"/>
        <v>98415000</v>
      </c>
    </row>
    <row r="9" spans="1:8" x14ac:dyDescent="0.3">
      <c r="A9" s="17" t="s">
        <v>244</v>
      </c>
      <c r="B9" s="18">
        <v>45024</v>
      </c>
      <c r="C9" s="17" t="s">
        <v>135</v>
      </c>
      <c r="D9" s="17" t="s">
        <v>139</v>
      </c>
      <c r="E9" s="17">
        <v>700</v>
      </c>
      <c r="F9" s="19">
        <v>120000</v>
      </c>
      <c r="G9" s="20">
        <v>8.8000000000000005E-3</v>
      </c>
      <c r="H9" s="8">
        <f t="shared" si="0"/>
        <v>113400000</v>
      </c>
    </row>
    <row r="10" spans="1:8" x14ac:dyDescent="0.3">
      <c r="A10" s="17" t="s">
        <v>242</v>
      </c>
      <c r="B10" s="18">
        <v>45067</v>
      </c>
      <c r="C10" s="17" t="s">
        <v>135</v>
      </c>
      <c r="D10" s="17" t="s">
        <v>141</v>
      </c>
      <c r="E10" s="17">
        <v>980</v>
      </c>
      <c r="F10" s="19">
        <v>125000</v>
      </c>
      <c r="G10" s="20">
        <v>7.6E-3</v>
      </c>
      <c r="H10" s="8">
        <f t="shared" si="0"/>
        <v>165375000</v>
      </c>
    </row>
    <row r="11" spans="1:8" x14ac:dyDescent="0.3">
      <c r="A11" s="17" t="s">
        <v>243</v>
      </c>
      <c r="B11" s="18">
        <v>45088</v>
      </c>
      <c r="C11" s="17" t="s">
        <v>135</v>
      </c>
      <c r="D11" s="17" t="s">
        <v>140</v>
      </c>
      <c r="E11" s="17">
        <v>540</v>
      </c>
      <c r="F11" s="19">
        <v>125000</v>
      </c>
      <c r="G11" s="20">
        <v>5.0000000000000001E-3</v>
      </c>
      <c r="H11" s="8">
        <f t="shared" si="0"/>
        <v>91125000</v>
      </c>
    </row>
    <row r="12" spans="1:8" x14ac:dyDescent="0.3">
      <c r="A12" s="17" t="s">
        <v>244</v>
      </c>
      <c r="B12" s="18">
        <v>45000</v>
      </c>
      <c r="C12" s="17" t="s">
        <v>136</v>
      </c>
      <c r="D12" s="17" t="s">
        <v>138</v>
      </c>
      <c r="E12" s="17">
        <v>700</v>
      </c>
      <c r="F12" s="19">
        <v>115000</v>
      </c>
      <c r="G12" s="20">
        <v>4.7000000000000002E-3</v>
      </c>
      <c r="H12" s="8">
        <f t="shared" si="0"/>
        <v>108675000</v>
      </c>
    </row>
    <row r="13" spans="1:8" x14ac:dyDescent="0.3">
      <c r="A13" s="17" t="s">
        <v>242</v>
      </c>
      <c r="B13" s="18">
        <v>45040</v>
      </c>
      <c r="C13" s="17" t="s">
        <v>136</v>
      </c>
      <c r="D13" s="17" t="s">
        <v>139</v>
      </c>
      <c r="E13" s="17">
        <v>980</v>
      </c>
      <c r="F13" s="19">
        <v>100000</v>
      </c>
      <c r="G13" s="20">
        <v>8.9999999999999993E-3</v>
      </c>
      <c r="H13" s="8">
        <f t="shared" si="0"/>
        <v>132300000</v>
      </c>
    </row>
    <row r="14" spans="1:8" x14ac:dyDescent="0.3">
      <c r="A14" s="17" t="s">
        <v>243</v>
      </c>
      <c r="B14" s="18">
        <v>45059</v>
      </c>
      <c r="C14" s="17" t="s">
        <v>136</v>
      </c>
      <c r="D14" s="17" t="s">
        <v>141</v>
      </c>
      <c r="E14" s="17">
        <v>540</v>
      </c>
      <c r="F14" s="19">
        <v>115000</v>
      </c>
      <c r="G14" s="20">
        <v>5.7000000000000002E-3</v>
      </c>
      <c r="H14" s="8">
        <f t="shared" si="0"/>
        <v>83835000</v>
      </c>
    </row>
    <row r="15" spans="1:8" x14ac:dyDescent="0.3">
      <c r="A15" s="17" t="s">
        <v>244</v>
      </c>
      <c r="B15" s="18">
        <v>45094</v>
      </c>
      <c r="C15" s="17" t="s">
        <v>136</v>
      </c>
      <c r="D15" s="17" t="s">
        <v>140</v>
      </c>
      <c r="E15" s="17">
        <v>700</v>
      </c>
      <c r="F15" s="19">
        <v>120000</v>
      </c>
      <c r="G15" s="20">
        <v>5.4000000000000003E-3</v>
      </c>
      <c r="H15" s="8">
        <f t="shared" si="0"/>
        <v>113400000</v>
      </c>
    </row>
    <row r="18" spans="1:4" x14ac:dyDescent="0.3">
      <c r="A18" s="24" t="s">
        <v>288</v>
      </c>
      <c r="B18" t="s">
        <v>289</v>
      </c>
    </row>
    <row r="20" spans="1:4" x14ac:dyDescent="0.3">
      <c r="A20" s="27" t="s">
        <v>296</v>
      </c>
      <c r="B20" s="27" t="s">
        <v>292</v>
      </c>
      <c r="C20" s="11"/>
      <c r="D20" s="11"/>
    </row>
    <row r="21" spans="1:4" x14ac:dyDescent="0.3">
      <c r="A21" s="27" t="s">
        <v>290</v>
      </c>
      <c r="B21" s="28" t="s">
        <v>293</v>
      </c>
      <c r="C21" s="28" t="s">
        <v>294</v>
      </c>
      <c r="D21" s="28" t="s">
        <v>295</v>
      </c>
    </row>
    <row r="22" spans="1:4" x14ac:dyDescent="0.3">
      <c r="A22" s="25" t="s">
        <v>70</v>
      </c>
      <c r="B22" s="26">
        <v>132300000</v>
      </c>
      <c r="C22" s="26">
        <v>98415000</v>
      </c>
      <c r="D22" s="26">
        <v>108675000</v>
      </c>
    </row>
    <row r="23" spans="1:4" x14ac:dyDescent="0.3">
      <c r="A23" s="25" t="s">
        <v>89</v>
      </c>
      <c r="B23" s="26">
        <v>80190000</v>
      </c>
      <c r="C23" s="26">
        <v>113400000</v>
      </c>
      <c r="D23" s="26">
        <v>132300000</v>
      </c>
    </row>
    <row r="24" spans="1:4" x14ac:dyDescent="0.3">
      <c r="A24" s="25" t="s">
        <v>90</v>
      </c>
      <c r="B24" s="26">
        <v>127575000</v>
      </c>
      <c r="C24" s="26">
        <v>165375000</v>
      </c>
      <c r="D24" s="26">
        <v>83835000</v>
      </c>
    </row>
    <row r="25" spans="1:4" x14ac:dyDescent="0.3">
      <c r="A25" s="25" t="s">
        <v>91</v>
      </c>
      <c r="B25" s="26">
        <v>158760000</v>
      </c>
      <c r="C25" s="26">
        <v>91125000</v>
      </c>
      <c r="D25" s="26">
        <v>113400000</v>
      </c>
    </row>
    <row r="26" spans="1:4" x14ac:dyDescent="0.3">
      <c r="A26" s="25" t="s">
        <v>291</v>
      </c>
      <c r="B26" s="26">
        <v>124706250</v>
      </c>
      <c r="C26" s="26">
        <v>117078750</v>
      </c>
      <c r="D26" s="26">
        <v>109552500</v>
      </c>
    </row>
  </sheetData>
  <scenarios current="1" sqref="G17">
    <scenario name="할인율증가" locked="1" count="1" user="시나공" comment="만든 사람 시나공 날짜 2013-05-09">
      <inputCells r="B19" undone="1" val="0.3" numFmtId="9"/>
    </scenario>
    <scenario name="할인율인하" locked="1" count="1" user="시나공" comment="만든 사람 시나공 날짜 2013-05-09">
      <inputCells r="B19" undone="1" val="0.1" numFmtId="9"/>
    </scenario>
  </scenarios>
  <dataConsolidate function="average" topLabels="1"/>
  <mergeCells count="1">
    <mergeCell ref="A1:H1"/>
  </mergeCells>
  <phoneticPr fontId="1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G21"/>
  <sheetViews>
    <sheetView zoomScaleNormal="100" workbookViewId="0">
      <selection sqref="A1:G1"/>
    </sheetView>
  </sheetViews>
  <sheetFormatPr defaultRowHeight="16.5" outlineLevelRow="3" x14ac:dyDescent="0.3"/>
  <cols>
    <col min="1" max="1" width="11.875" bestFit="1" customWidth="1"/>
    <col min="6" max="6" width="14.375" bestFit="1" customWidth="1"/>
    <col min="7" max="7" width="10.875" bestFit="1" customWidth="1"/>
  </cols>
  <sheetData>
    <row r="1" spans="1:7" ht="20.25" x14ac:dyDescent="0.3">
      <c r="A1" s="35" t="s">
        <v>172</v>
      </c>
      <c r="B1" s="35"/>
      <c r="C1" s="35"/>
      <c r="D1" s="35"/>
      <c r="E1" s="35"/>
      <c r="F1" s="35"/>
      <c r="G1" s="35"/>
    </row>
    <row r="3" spans="1:7" x14ac:dyDescent="0.3">
      <c r="A3" s="5" t="s">
        <v>144</v>
      </c>
      <c r="B3" s="5" t="s">
        <v>4</v>
      </c>
      <c r="C3" s="5" t="s">
        <v>142</v>
      </c>
      <c r="D3" s="5" t="s">
        <v>143</v>
      </c>
      <c r="E3" s="5" t="s">
        <v>145</v>
      </c>
      <c r="F3" s="5" t="s">
        <v>146</v>
      </c>
      <c r="G3" s="5" t="s">
        <v>147</v>
      </c>
    </row>
    <row r="4" spans="1:7" outlineLevel="3" x14ac:dyDescent="0.3">
      <c r="A4" s="5" t="s">
        <v>15</v>
      </c>
      <c r="B4" s="5" t="s">
        <v>148</v>
      </c>
      <c r="C4" s="5" t="s">
        <v>63</v>
      </c>
      <c r="D4" s="5">
        <v>35</v>
      </c>
      <c r="E4" s="5" t="s">
        <v>157</v>
      </c>
      <c r="F4" s="5" t="s">
        <v>163</v>
      </c>
      <c r="G4" s="9">
        <v>250000</v>
      </c>
    </row>
    <row r="5" spans="1:7" outlineLevel="3" x14ac:dyDescent="0.3">
      <c r="A5" s="5" t="s">
        <v>15</v>
      </c>
      <c r="B5" s="5" t="s">
        <v>151</v>
      </c>
      <c r="C5" s="5" t="s">
        <v>63</v>
      </c>
      <c r="D5" s="5">
        <v>45</v>
      </c>
      <c r="E5" s="5" t="s">
        <v>160</v>
      </c>
      <c r="F5" s="5" t="s">
        <v>166</v>
      </c>
      <c r="G5" s="9">
        <v>250000</v>
      </c>
    </row>
    <row r="6" spans="1:7" outlineLevel="3" x14ac:dyDescent="0.3">
      <c r="A6" s="5" t="s">
        <v>15</v>
      </c>
      <c r="B6" s="5" t="s">
        <v>153</v>
      </c>
      <c r="C6" s="5" t="s">
        <v>62</v>
      </c>
      <c r="D6" s="5">
        <v>24</v>
      </c>
      <c r="E6" s="5" t="s">
        <v>158</v>
      </c>
      <c r="F6" s="5" t="s">
        <v>168</v>
      </c>
      <c r="G6" s="9">
        <v>120000</v>
      </c>
    </row>
    <row r="7" spans="1:7" outlineLevel="3" x14ac:dyDescent="0.3">
      <c r="A7" s="5" t="s">
        <v>15</v>
      </c>
      <c r="B7" s="5" t="s">
        <v>155</v>
      </c>
      <c r="C7" s="5" t="s">
        <v>63</v>
      </c>
      <c r="D7" s="5">
        <v>28</v>
      </c>
      <c r="E7" s="5" t="s">
        <v>159</v>
      </c>
      <c r="F7" s="5" t="s">
        <v>170</v>
      </c>
      <c r="G7" s="9">
        <v>600000</v>
      </c>
    </row>
    <row r="8" spans="1:7" outlineLevel="2" x14ac:dyDescent="0.3">
      <c r="A8" s="29" t="s">
        <v>298</v>
      </c>
      <c r="B8" s="5"/>
      <c r="C8" s="5"/>
      <c r="D8" s="5"/>
      <c r="E8" s="5"/>
      <c r="F8" s="5"/>
      <c r="G8" s="9">
        <f>SUBTOTAL(9,G4:G7)</f>
        <v>1220000</v>
      </c>
    </row>
    <row r="9" spans="1:7" outlineLevel="1" x14ac:dyDescent="0.3">
      <c r="A9" s="29" t="s">
        <v>306</v>
      </c>
      <c r="B9" s="5"/>
      <c r="C9" s="5"/>
      <c r="D9" s="5">
        <f>SUBTOTAL(4,D4:D7)</f>
        <v>45</v>
      </c>
      <c r="E9" s="5"/>
      <c r="F9" s="5"/>
      <c r="G9" s="9"/>
    </row>
    <row r="10" spans="1:7" outlineLevel="3" x14ac:dyDescent="0.3">
      <c r="A10" s="5" t="s">
        <v>18</v>
      </c>
      <c r="B10" s="5" t="s">
        <v>150</v>
      </c>
      <c r="C10" s="5" t="s">
        <v>62</v>
      </c>
      <c r="D10" s="5">
        <v>34</v>
      </c>
      <c r="E10" s="5" t="s">
        <v>159</v>
      </c>
      <c r="F10" s="5" t="s">
        <v>165</v>
      </c>
      <c r="G10" s="9">
        <v>300000</v>
      </c>
    </row>
    <row r="11" spans="1:7" outlineLevel="3" x14ac:dyDescent="0.3">
      <c r="A11" s="5" t="s">
        <v>18</v>
      </c>
      <c r="B11" s="5" t="s">
        <v>154</v>
      </c>
      <c r="C11" s="5" t="s">
        <v>62</v>
      </c>
      <c r="D11" s="5">
        <v>34</v>
      </c>
      <c r="E11" s="5" t="s">
        <v>162</v>
      </c>
      <c r="F11" s="5" t="s">
        <v>169</v>
      </c>
      <c r="G11" s="9">
        <v>400000</v>
      </c>
    </row>
    <row r="12" spans="1:7" outlineLevel="3" x14ac:dyDescent="0.3">
      <c r="A12" s="5" t="s">
        <v>18</v>
      </c>
      <c r="B12" s="5" t="s">
        <v>156</v>
      </c>
      <c r="C12" s="5" t="s">
        <v>63</v>
      </c>
      <c r="D12" s="5">
        <v>27</v>
      </c>
      <c r="E12" s="5" t="s">
        <v>158</v>
      </c>
      <c r="F12" s="5" t="s">
        <v>171</v>
      </c>
      <c r="G12" s="9">
        <v>100000</v>
      </c>
    </row>
    <row r="13" spans="1:7" outlineLevel="2" x14ac:dyDescent="0.3">
      <c r="A13" s="29" t="s">
        <v>299</v>
      </c>
      <c r="B13" s="5"/>
      <c r="C13" s="5"/>
      <c r="D13" s="5"/>
      <c r="E13" s="5"/>
      <c r="F13" s="5"/>
      <c r="G13" s="9">
        <f>SUBTOTAL(9,G10:G12)</f>
        <v>800000</v>
      </c>
    </row>
    <row r="14" spans="1:7" outlineLevel="1" x14ac:dyDescent="0.3">
      <c r="A14" s="29" t="s">
        <v>307</v>
      </c>
      <c r="B14" s="5"/>
      <c r="C14" s="5"/>
      <c r="D14" s="5">
        <f>SUBTOTAL(4,D10:D12)</f>
        <v>34</v>
      </c>
      <c r="E14" s="5"/>
      <c r="F14" s="5"/>
      <c r="G14" s="9"/>
    </row>
    <row r="15" spans="1:7" outlineLevel="3" x14ac:dyDescent="0.3">
      <c r="A15" s="5" t="s">
        <v>16</v>
      </c>
      <c r="B15" s="5" t="s">
        <v>149</v>
      </c>
      <c r="C15" s="5" t="s">
        <v>63</v>
      </c>
      <c r="D15" s="5">
        <v>28</v>
      </c>
      <c r="E15" s="5" t="s">
        <v>158</v>
      </c>
      <c r="F15" s="5" t="s">
        <v>164</v>
      </c>
      <c r="G15" s="9">
        <v>100000</v>
      </c>
    </row>
    <row r="16" spans="1:7" outlineLevel="3" x14ac:dyDescent="0.3">
      <c r="A16" s="5" t="s">
        <v>16</v>
      </c>
      <c r="B16" s="5" t="s">
        <v>152</v>
      </c>
      <c r="C16" s="5" t="s">
        <v>62</v>
      </c>
      <c r="D16" s="5">
        <v>33</v>
      </c>
      <c r="E16" s="5" t="s">
        <v>161</v>
      </c>
      <c r="F16" s="5" t="s">
        <v>167</v>
      </c>
      <c r="G16" s="9">
        <v>500000</v>
      </c>
    </row>
    <row r="17" spans="1:7" outlineLevel="2" x14ac:dyDescent="0.3">
      <c r="A17" s="33" t="s">
        <v>300</v>
      </c>
      <c r="B17" s="11"/>
      <c r="C17" s="11"/>
      <c r="D17" s="11"/>
      <c r="E17" s="11"/>
      <c r="F17" s="11"/>
      <c r="G17" s="30">
        <f>SUBTOTAL(9,G15:G16)</f>
        <v>600000</v>
      </c>
    </row>
    <row r="18" spans="1:7" outlineLevel="1" x14ac:dyDescent="0.3">
      <c r="A18" s="33" t="s">
        <v>308</v>
      </c>
      <c r="B18" s="11"/>
      <c r="C18" s="11"/>
      <c r="D18" s="11">
        <f>SUBTOTAL(4,D15:D16)</f>
        <v>33</v>
      </c>
      <c r="E18" s="11"/>
      <c r="F18" s="11"/>
      <c r="G18" s="30"/>
    </row>
    <row r="19" spans="1:7" x14ac:dyDescent="0.3">
      <c r="A19" s="33" t="s">
        <v>291</v>
      </c>
      <c r="B19" s="11"/>
      <c r="C19" s="11"/>
      <c r="D19" s="11"/>
      <c r="E19" s="11"/>
      <c r="F19" s="11"/>
      <c r="G19" s="30">
        <f>SUBTOTAL(9,G4:G16)</f>
        <v>2620000</v>
      </c>
    </row>
    <row r="20" spans="1:7" x14ac:dyDescent="0.3">
      <c r="A20" s="33" t="s">
        <v>297</v>
      </c>
      <c r="B20" s="11"/>
      <c r="C20" s="11"/>
      <c r="D20" s="11">
        <f>SUBTOTAL(4,D4:D16)</f>
        <v>45</v>
      </c>
      <c r="E20" s="11"/>
      <c r="F20" s="11"/>
      <c r="G20" s="30"/>
    </row>
    <row r="21" spans="1:7" x14ac:dyDescent="0.3">
      <c r="A21" s="11"/>
      <c r="B21" s="11"/>
      <c r="C21" s="11"/>
      <c r="D21" s="11"/>
      <c r="E21" s="11"/>
      <c r="F21" s="11"/>
      <c r="G21" s="11"/>
    </row>
  </sheetData>
  <sortState xmlns:xlrd2="http://schemas.microsoft.com/office/spreadsheetml/2017/richdata2" ref="A4:G16">
    <sortCondition descending="1" ref="A3:A16"/>
  </sortState>
  <dataConsolidate function="average" topLabels="1">
    <dataRefs count="3">
      <dataRef ref="A2:H11" sheet="분석작업-2"/>
      <dataRef ref="A14:H23" sheet="분석작업-2"/>
      <dataRef ref="A26:H35" sheet="분석작업-2"/>
    </dataRefs>
  </dataConsolidate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5"/>
  <sheetViews>
    <sheetView workbookViewId="0">
      <selection sqref="A1:F1"/>
    </sheetView>
  </sheetViews>
  <sheetFormatPr defaultRowHeight="16.5" x14ac:dyDescent="0.3"/>
  <cols>
    <col min="2" max="2" width="13" bestFit="1" customWidth="1"/>
    <col min="4" max="4" width="10.875" bestFit="1" customWidth="1"/>
    <col min="5" max="5" width="9.125" bestFit="1" customWidth="1"/>
    <col min="6" max="6" width="10.875" bestFit="1" customWidth="1"/>
  </cols>
  <sheetData>
    <row r="1" spans="1:6" ht="20.25" x14ac:dyDescent="0.3">
      <c r="A1" s="35" t="s">
        <v>201</v>
      </c>
      <c r="B1" s="35"/>
      <c r="C1" s="35"/>
      <c r="D1" s="35"/>
      <c r="E1" s="35"/>
      <c r="F1" s="35"/>
    </row>
    <row r="3" spans="1:6" x14ac:dyDescent="0.3">
      <c r="A3" s="31" t="s">
        <v>202</v>
      </c>
      <c r="B3" s="31" t="s">
        <v>203</v>
      </c>
      <c r="C3" s="31" t="s">
        <v>204</v>
      </c>
      <c r="D3" s="31" t="s">
        <v>205</v>
      </c>
      <c r="E3" s="31" t="s">
        <v>206</v>
      </c>
      <c r="F3" s="31" t="s">
        <v>207</v>
      </c>
    </row>
    <row r="4" spans="1:6" x14ac:dyDescent="0.3">
      <c r="A4" s="21">
        <v>45021</v>
      </c>
      <c r="B4" s="4" t="s">
        <v>208</v>
      </c>
      <c r="C4" s="5"/>
      <c r="D4" s="8">
        <v>15000</v>
      </c>
      <c r="E4" s="8"/>
      <c r="F4" s="8">
        <f>D4-E4</f>
        <v>15000</v>
      </c>
    </row>
    <row r="5" spans="1:6" x14ac:dyDescent="0.3">
      <c r="A5" s="21">
        <v>45024</v>
      </c>
      <c r="B5" s="4" t="s">
        <v>209</v>
      </c>
      <c r="C5" s="5">
        <v>3</v>
      </c>
      <c r="D5" s="8">
        <v>98000</v>
      </c>
      <c r="E5" s="8">
        <v>5000</v>
      </c>
      <c r="F5" s="8">
        <f t="shared" ref="F5:F14" si="0">D5-E5</f>
        <v>93000</v>
      </c>
    </row>
    <row r="6" spans="1:6" x14ac:dyDescent="0.3">
      <c r="A6" s="21">
        <v>45026</v>
      </c>
      <c r="B6" s="4" t="s">
        <v>210</v>
      </c>
      <c r="C6" s="5">
        <v>12</v>
      </c>
      <c r="D6" s="8">
        <v>1200000</v>
      </c>
      <c r="E6" s="8"/>
      <c r="F6" s="8">
        <f t="shared" si="0"/>
        <v>1200000</v>
      </c>
    </row>
    <row r="7" spans="1:6" x14ac:dyDescent="0.3">
      <c r="A7" s="21">
        <v>45028</v>
      </c>
      <c r="B7" s="4" t="s">
        <v>211</v>
      </c>
      <c r="C7" s="5"/>
      <c r="D7" s="8">
        <v>4800</v>
      </c>
      <c r="E7" s="8"/>
      <c r="F7" s="8">
        <f t="shared" si="0"/>
        <v>4800</v>
      </c>
    </row>
    <row r="8" spans="1:6" x14ac:dyDescent="0.3">
      <c r="A8" s="21">
        <v>45029</v>
      </c>
      <c r="B8" s="4" t="s">
        <v>212</v>
      </c>
      <c r="C8" s="5"/>
      <c r="D8" s="8">
        <v>70000</v>
      </c>
      <c r="E8" s="8">
        <v>3500</v>
      </c>
      <c r="F8" s="8">
        <f t="shared" si="0"/>
        <v>66500</v>
      </c>
    </row>
    <row r="9" spans="1:6" x14ac:dyDescent="0.3">
      <c r="A9" s="21">
        <v>45034</v>
      </c>
      <c r="B9" s="4" t="s">
        <v>213</v>
      </c>
      <c r="C9" s="5"/>
      <c r="D9" s="8">
        <v>56000</v>
      </c>
      <c r="E9" s="8"/>
      <c r="F9" s="8">
        <f t="shared" si="0"/>
        <v>56000</v>
      </c>
    </row>
    <row r="10" spans="1:6" x14ac:dyDescent="0.3">
      <c r="A10" s="21">
        <v>45037</v>
      </c>
      <c r="B10" s="4" t="s">
        <v>214</v>
      </c>
      <c r="C10" s="5"/>
      <c r="D10" s="8">
        <v>99000</v>
      </c>
      <c r="E10" s="8">
        <v>9900</v>
      </c>
      <c r="F10" s="8">
        <f t="shared" si="0"/>
        <v>89100</v>
      </c>
    </row>
    <row r="11" spans="1:6" x14ac:dyDescent="0.3">
      <c r="A11" s="21">
        <v>45038</v>
      </c>
      <c r="B11" s="4" t="s">
        <v>215</v>
      </c>
      <c r="C11" s="5"/>
      <c r="D11" s="8">
        <v>30000</v>
      </c>
      <c r="E11" s="8"/>
      <c r="F11" s="8">
        <f t="shared" si="0"/>
        <v>30000</v>
      </c>
    </row>
    <row r="12" spans="1:6" x14ac:dyDescent="0.3">
      <c r="A12" s="21">
        <v>45041</v>
      </c>
      <c r="B12" s="4" t="s">
        <v>212</v>
      </c>
      <c r="C12" s="5"/>
      <c r="D12" s="8">
        <v>80000</v>
      </c>
      <c r="E12" s="8">
        <v>4000</v>
      </c>
      <c r="F12" s="8">
        <f t="shared" si="0"/>
        <v>76000</v>
      </c>
    </row>
    <row r="13" spans="1:6" x14ac:dyDescent="0.3">
      <c r="A13" s="21">
        <v>45042</v>
      </c>
      <c r="B13" s="4" t="s">
        <v>216</v>
      </c>
      <c r="C13" s="5">
        <v>3</v>
      </c>
      <c r="D13" s="8">
        <v>132000</v>
      </c>
      <c r="E13" s="8">
        <v>5000</v>
      </c>
      <c r="F13" s="8">
        <f t="shared" si="0"/>
        <v>127000</v>
      </c>
    </row>
    <row r="14" spans="1:6" x14ac:dyDescent="0.3">
      <c r="A14" s="21">
        <v>45045</v>
      </c>
      <c r="B14" s="4" t="s">
        <v>217</v>
      </c>
      <c r="C14" s="5">
        <v>6</v>
      </c>
      <c r="D14" s="8">
        <v>180000</v>
      </c>
      <c r="E14" s="8">
        <v>5000</v>
      </c>
      <c r="F14" s="8">
        <f t="shared" si="0"/>
        <v>175000</v>
      </c>
    </row>
    <row r="15" spans="1:6" x14ac:dyDescent="0.3">
      <c r="A15" s="39" t="s">
        <v>218</v>
      </c>
      <c r="B15" s="40"/>
      <c r="C15" s="41"/>
      <c r="D15" s="8">
        <f>SUM(D4:D14)</f>
        <v>1964800</v>
      </c>
      <c r="E15" s="8">
        <f t="shared" ref="E15:F15" si="1">SUM(E4:E14)</f>
        <v>32400</v>
      </c>
      <c r="F15" s="8">
        <f t="shared" si="1"/>
        <v>1932400</v>
      </c>
    </row>
  </sheetData>
  <mergeCells count="2">
    <mergeCell ref="A1:F1"/>
    <mergeCell ref="A15:C15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10"/>
  <sheetViews>
    <sheetView workbookViewId="0">
      <selection sqref="A1:E1"/>
    </sheetView>
  </sheetViews>
  <sheetFormatPr defaultRowHeight="16.5" x14ac:dyDescent="0.3"/>
  <cols>
    <col min="2" max="2" width="11" bestFit="1" customWidth="1"/>
    <col min="3" max="3" width="11.875" bestFit="1" customWidth="1"/>
    <col min="4" max="4" width="9.125" bestFit="1" customWidth="1"/>
    <col min="5" max="5" width="15.625" bestFit="1" customWidth="1"/>
  </cols>
  <sheetData>
    <row r="1" spans="1:5" ht="20.25" x14ac:dyDescent="0.3">
      <c r="A1" s="35" t="s">
        <v>301</v>
      </c>
      <c r="B1" s="35"/>
      <c r="C1" s="35"/>
      <c r="D1" s="35"/>
      <c r="E1" s="35"/>
    </row>
    <row r="3" spans="1:5" x14ac:dyDescent="0.3">
      <c r="A3" s="5" t="s">
        <v>219</v>
      </c>
      <c r="B3" s="5" t="s">
        <v>220</v>
      </c>
      <c r="C3" s="5" t="s">
        <v>221</v>
      </c>
      <c r="D3" s="5" t="s">
        <v>222</v>
      </c>
      <c r="E3" s="5" t="s">
        <v>235</v>
      </c>
    </row>
    <row r="4" spans="1:5" x14ac:dyDescent="0.3">
      <c r="A4" s="4" t="s">
        <v>230</v>
      </c>
      <c r="B4" s="4" t="s">
        <v>223</v>
      </c>
      <c r="C4" s="8">
        <v>720000</v>
      </c>
      <c r="D4" s="8">
        <v>3400</v>
      </c>
      <c r="E4" s="8">
        <f>C4*D4</f>
        <v>2448000000</v>
      </c>
    </row>
    <row r="5" spans="1:5" x14ac:dyDescent="0.3">
      <c r="A5" s="4" t="s">
        <v>38</v>
      </c>
      <c r="B5" s="4" t="s">
        <v>224</v>
      </c>
      <c r="C5" s="8">
        <v>1340000</v>
      </c>
      <c r="D5" s="8">
        <v>2500</v>
      </c>
      <c r="E5" s="8">
        <f t="shared" ref="E5:E10" si="0">C5*D5</f>
        <v>3350000000</v>
      </c>
    </row>
    <row r="6" spans="1:5" x14ac:dyDescent="0.3">
      <c r="A6" s="4" t="s">
        <v>231</v>
      </c>
      <c r="B6" s="4" t="s">
        <v>225</v>
      </c>
      <c r="C6" s="8">
        <v>24000000</v>
      </c>
      <c r="D6" s="8">
        <v>1000</v>
      </c>
      <c r="E6" s="8">
        <f t="shared" si="0"/>
        <v>24000000000</v>
      </c>
    </row>
    <row r="7" spans="1:5" x14ac:dyDescent="0.3">
      <c r="A7" s="4" t="s">
        <v>232</v>
      </c>
      <c r="B7" s="4" t="s">
        <v>226</v>
      </c>
      <c r="C7" s="8">
        <v>600000</v>
      </c>
      <c r="D7" s="8">
        <v>2800</v>
      </c>
      <c r="E7" s="8">
        <f t="shared" si="0"/>
        <v>1680000000</v>
      </c>
    </row>
    <row r="8" spans="1:5" x14ac:dyDescent="0.3">
      <c r="A8" s="4" t="s">
        <v>233</v>
      </c>
      <c r="B8" s="4" t="s">
        <v>227</v>
      </c>
      <c r="C8" s="8">
        <v>850000</v>
      </c>
      <c r="D8" s="8">
        <v>3000</v>
      </c>
      <c r="E8" s="8">
        <f t="shared" si="0"/>
        <v>2550000000</v>
      </c>
    </row>
    <row r="9" spans="1:5" x14ac:dyDescent="0.3">
      <c r="A9" s="4" t="s">
        <v>234</v>
      </c>
      <c r="B9" s="4" t="s">
        <v>228</v>
      </c>
      <c r="C9" s="8">
        <v>500000</v>
      </c>
      <c r="D9" s="8">
        <v>3200</v>
      </c>
      <c r="E9" s="8">
        <f t="shared" si="0"/>
        <v>1600000000</v>
      </c>
    </row>
    <row r="10" spans="1:5" x14ac:dyDescent="0.3">
      <c r="A10" s="4" t="s">
        <v>236</v>
      </c>
      <c r="B10" s="4" t="s">
        <v>229</v>
      </c>
      <c r="C10" s="8">
        <v>1200000</v>
      </c>
      <c r="D10" s="8">
        <v>2800</v>
      </c>
      <c r="E10" s="8">
        <f t="shared" si="0"/>
        <v>3360000000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쫑</dc:creator>
  <cp:lastModifiedBy>조준현</cp:lastModifiedBy>
  <dcterms:created xsi:type="dcterms:W3CDTF">2013-03-06T07:37:24Z</dcterms:created>
  <dcterms:modified xsi:type="dcterms:W3CDTF">2023-10-09T16:05:56Z</dcterms:modified>
</cp:coreProperties>
</file>