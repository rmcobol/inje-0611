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15회 실전모의고사\"/>
    </mc:Choice>
  </mc:AlternateContent>
  <xr:revisionPtr revIDLastSave="0" documentId="13_ncr:1_{673D83E4-DFD3-44D5-A922-17EAD6C7B1E1}" xr6:coauthVersionLast="47" xr6:coauthVersionMax="47" xr10:uidLastSave="{00000000-0000-0000-0000-000000000000}"/>
  <bookViews>
    <workbookView xWindow="7560" yWindow="1035" windowWidth="15390" windowHeight="12690" tabRatio="690" xr2:uid="{00000000-000D-0000-FFFF-FFFF00000000}"/>
  </bookViews>
  <sheets>
    <sheet name="기본작업-1" sheetId="4" r:id="rId1"/>
    <sheet name="기본작업-2" sheetId="5" r:id="rId2"/>
    <sheet name="기본작업-3" sheetId="6" r:id="rId3"/>
    <sheet name="계산작업" sheetId="7" r:id="rId4"/>
    <sheet name="시나리오 요약" sheetId="12" r:id="rId5"/>
    <sheet name="분석작업-1" sheetId="9" r:id="rId6"/>
    <sheet name="분석작업-2" sheetId="8" r:id="rId7"/>
    <sheet name="매크로작업" sheetId="13" r:id="rId8"/>
    <sheet name="차트작업" sheetId="11" r:id="rId9"/>
  </sheets>
  <externalReferences>
    <externalReference r:id="rId10"/>
  </externalReferences>
  <definedNames>
    <definedName name="순이익율">'분석작업-1'!$H$17</definedName>
    <definedName name="순이익합계">'분석작업-1'!$H$15</definedName>
    <definedName name="학생이름">'기본작업-2'!$C$5:$C$16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3" l="1"/>
  <c r="G6" i="13"/>
  <c r="G7" i="13"/>
  <c r="G8" i="13"/>
  <c r="G9" i="13"/>
  <c r="G10" i="13"/>
  <c r="G11" i="13"/>
  <c r="G12" i="13"/>
  <c r="G4" i="13"/>
  <c r="D36" i="7" l="1"/>
  <c r="D37" i="7"/>
  <c r="D38" i="7"/>
  <c r="D39" i="7"/>
  <c r="D40" i="7"/>
  <c r="D41" i="7"/>
  <c r="D42" i="7"/>
  <c r="D43" i="7"/>
  <c r="D44" i="7"/>
  <c r="D45" i="7"/>
  <c r="D46" i="7"/>
  <c r="D35" i="7"/>
  <c r="I17" i="7"/>
  <c r="I18" i="7"/>
  <c r="I19" i="7"/>
  <c r="I20" i="7"/>
  <c r="I21" i="7"/>
  <c r="I22" i="7"/>
  <c r="I23" i="7"/>
  <c r="I16" i="7"/>
  <c r="B30" i="7"/>
  <c r="I4" i="7"/>
  <c r="I5" i="7"/>
  <c r="I6" i="7"/>
  <c r="I7" i="7"/>
  <c r="I8" i="7"/>
  <c r="I9" i="7"/>
  <c r="I10" i="7"/>
  <c r="I11" i="7"/>
  <c r="I3" i="7"/>
  <c r="D4" i="7"/>
  <c r="D5" i="7"/>
  <c r="D6" i="7"/>
  <c r="D7" i="7"/>
  <c r="D3" i="7"/>
  <c r="G15" i="9" l="1"/>
  <c r="E15" i="9"/>
  <c r="D15" i="9"/>
  <c r="F14" i="9"/>
  <c r="H14" i="9" s="1"/>
  <c r="F13" i="9"/>
  <c r="H13" i="9" s="1"/>
  <c r="F12" i="9"/>
  <c r="H12" i="9" s="1"/>
  <c r="F11" i="9"/>
  <c r="H11" i="9" s="1"/>
  <c r="F10" i="9"/>
  <c r="H10" i="9" s="1"/>
  <c r="F9" i="9"/>
  <c r="H9" i="9" s="1"/>
  <c r="F8" i="9"/>
  <c r="H8" i="9" s="1"/>
  <c r="F7" i="9"/>
  <c r="H7" i="9" s="1"/>
  <c r="F6" i="9"/>
  <c r="H6" i="9" s="1"/>
  <c r="F5" i="9"/>
  <c r="H5" i="9" s="1"/>
  <c r="F15" i="9" l="1"/>
  <c r="H15" i="9"/>
</calcChain>
</file>

<file path=xl/sharedStrings.xml><?xml version="1.0" encoding="utf-8"?>
<sst xmlns="http://schemas.openxmlformats.org/spreadsheetml/2006/main" count="360" uniqueCount="291">
  <si>
    <t>고객명</t>
  </si>
  <si>
    <t>대출상품</t>
  </si>
  <si>
    <t>대출금액</t>
  </si>
  <si>
    <t>대출기간</t>
  </si>
  <si>
    <t>대출일</t>
  </si>
  <si>
    <t>김민우</t>
  </si>
  <si>
    <t>일반대출</t>
  </si>
  <si>
    <t>박아지</t>
  </si>
  <si>
    <t>결혼자금</t>
  </si>
  <si>
    <t>임철근</t>
  </si>
  <si>
    <t>자유대출</t>
  </si>
  <si>
    <t>왕상규</t>
  </si>
  <si>
    <t>출산</t>
  </si>
  <si>
    <t>양미리</t>
  </si>
  <si>
    <t>천도연</t>
  </si>
  <si>
    <t>유정철</t>
  </si>
  <si>
    <t>노저일</t>
  </si>
  <si>
    <t>나지만</t>
  </si>
  <si>
    <t>우태산</t>
  </si>
  <si>
    <t>태현일</t>
  </si>
  <si>
    <t>도지은</t>
  </si>
  <si>
    <t>만다라</t>
  </si>
  <si>
    <t>모델명</t>
    <phoneticPr fontId="3" type="noConversion"/>
  </si>
  <si>
    <t>분류</t>
    <phoneticPr fontId="3" type="noConversion"/>
  </si>
  <si>
    <t>판매량</t>
  </si>
  <si>
    <t>A1206</t>
  </si>
  <si>
    <t>A1207</t>
  </si>
  <si>
    <t>A1208</t>
  </si>
  <si>
    <t>A1209</t>
  </si>
  <si>
    <t>A1210</t>
  </si>
  <si>
    <t>A1211</t>
  </si>
  <si>
    <t>A1212</t>
  </si>
  <si>
    <t>A1213</t>
  </si>
  <si>
    <t>A1214</t>
  </si>
  <si>
    <t>A1215</t>
  </si>
  <si>
    <t>상품명</t>
  </si>
  <si>
    <t>판매액</t>
  </si>
  <si>
    <t>목표액</t>
  </si>
  <si>
    <t>순이익</t>
  </si>
  <si>
    <t>합계</t>
  </si>
  <si>
    <t>TV</t>
  </si>
  <si>
    <t>냉장고</t>
  </si>
  <si>
    <t>세탁기</t>
  </si>
  <si>
    <t>김치냉장고</t>
  </si>
  <si>
    <t>식기세척기</t>
  </si>
  <si>
    <t>소파</t>
  </si>
  <si>
    <t>침대</t>
  </si>
  <si>
    <t>전반기</t>
    <phoneticPr fontId="3" type="noConversion"/>
  </si>
  <si>
    <t>후반기</t>
    <phoneticPr fontId="3" type="noConversion"/>
  </si>
  <si>
    <t>가전류</t>
    <phoneticPr fontId="3" type="noConversion"/>
  </si>
  <si>
    <t>홈시어터</t>
    <phoneticPr fontId="3" type="noConversion"/>
  </si>
  <si>
    <t>가구류</t>
    <phoneticPr fontId="3" type="noConversion"/>
  </si>
  <si>
    <t>장롱</t>
    <phoneticPr fontId="3" type="noConversion"/>
  </si>
  <si>
    <t>식탁</t>
    <phoneticPr fontId="3" type="noConversion"/>
  </si>
  <si>
    <t>순이익율</t>
    <phoneticPr fontId="3" type="noConversion"/>
  </si>
  <si>
    <t>제품명</t>
    <phoneticPr fontId="3" type="noConversion"/>
  </si>
  <si>
    <t>1월</t>
    <phoneticPr fontId="3" type="noConversion"/>
  </si>
  <si>
    <t>2월</t>
    <phoneticPr fontId="3" type="noConversion"/>
  </si>
  <si>
    <t>3월</t>
    <phoneticPr fontId="3" type="noConversion"/>
  </si>
  <si>
    <t>데스크탑</t>
    <phoneticPr fontId="3" type="noConversion"/>
  </si>
  <si>
    <t>DVD</t>
    <phoneticPr fontId="3" type="noConversion"/>
  </si>
  <si>
    <t>스캐너</t>
    <phoneticPr fontId="3" type="noConversion"/>
  </si>
  <si>
    <t>프린터</t>
    <phoneticPr fontId="3" type="noConversion"/>
  </si>
  <si>
    <t>노트북</t>
    <phoneticPr fontId="3" type="noConversion"/>
  </si>
  <si>
    <t>넷북</t>
    <phoneticPr fontId="3" type="noConversion"/>
  </si>
  <si>
    <t>외장하드</t>
    <phoneticPr fontId="3" type="noConversion"/>
  </si>
  <si>
    <t>매출액</t>
    <phoneticPr fontId="3" type="noConversion"/>
  </si>
  <si>
    <t>성명</t>
    <phoneticPr fontId="3" type="noConversion"/>
  </si>
  <si>
    <t>여행권역</t>
    <phoneticPr fontId="3" type="noConversion"/>
  </si>
  <si>
    <t>출발일자</t>
    <phoneticPr fontId="3" type="noConversion"/>
  </si>
  <si>
    <t>출발요일</t>
    <phoneticPr fontId="3" type="noConversion"/>
  </si>
  <si>
    <t>수출용</t>
    <phoneticPr fontId="3" type="noConversion"/>
  </si>
  <si>
    <t>김현숙</t>
    <phoneticPr fontId="3" type="noConversion"/>
  </si>
  <si>
    <t>중부유럽</t>
    <phoneticPr fontId="3" type="noConversion"/>
  </si>
  <si>
    <t>MP-01FHA</t>
    <phoneticPr fontId="3" type="noConversion"/>
  </si>
  <si>
    <t>내수용</t>
    <phoneticPr fontId="3" type="noConversion"/>
  </si>
  <si>
    <t>장현숙</t>
    <phoneticPr fontId="3" type="noConversion"/>
  </si>
  <si>
    <t>남부유럽</t>
    <phoneticPr fontId="3" type="noConversion"/>
  </si>
  <si>
    <t>DC-01FHB</t>
    <phoneticPr fontId="3" type="noConversion"/>
  </si>
  <si>
    <t>오남섭</t>
    <phoneticPr fontId="3" type="noConversion"/>
  </si>
  <si>
    <t>DC-01FHC</t>
    <phoneticPr fontId="3" type="noConversion"/>
  </si>
  <si>
    <t>신영숙</t>
    <phoneticPr fontId="3" type="noConversion"/>
  </si>
  <si>
    <t>MP-01FHB</t>
    <phoneticPr fontId="3" type="noConversion"/>
  </si>
  <si>
    <t>조현재</t>
    <phoneticPr fontId="3" type="noConversion"/>
  </si>
  <si>
    <t>미국, 캐나다</t>
    <phoneticPr fontId="3" type="noConversion"/>
  </si>
  <si>
    <t>권근창</t>
    <phoneticPr fontId="3" type="noConversion"/>
  </si>
  <si>
    <t>호주, 뉴질랜드</t>
    <phoneticPr fontId="3" type="noConversion"/>
  </si>
  <si>
    <t>두여랑</t>
    <phoneticPr fontId="3" type="noConversion"/>
  </si>
  <si>
    <t>모델명 3자리</t>
    <phoneticPr fontId="3" type="noConversion"/>
  </si>
  <si>
    <t>FHA</t>
    <phoneticPr fontId="3" type="noConversion"/>
  </si>
  <si>
    <t>문상화</t>
    <phoneticPr fontId="3" type="noConversion"/>
  </si>
  <si>
    <t>북부유럽</t>
    <phoneticPr fontId="3" type="noConversion"/>
  </si>
  <si>
    <t>판매단가</t>
    <phoneticPr fontId="3" type="noConversion"/>
  </si>
  <si>
    <t>고영수</t>
    <phoneticPr fontId="3" type="noConversion"/>
  </si>
  <si>
    <t>사원번호</t>
    <phoneticPr fontId="3" type="noConversion"/>
  </si>
  <si>
    <t>희망부서</t>
    <phoneticPr fontId="3" type="noConversion"/>
  </si>
  <si>
    <t>입사시험 성적</t>
    <phoneticPr fontId="3" type="noConversion"/>
  </si>
  <si>
    <t>나라</t>
    <phoneticPr fontId="3" type="noConversion"/>
  </si>
  <si>
    <t>수도</t>
    <phoneticPr fontId="3" type="noConversion"/>
  </si>
  <si>
    <t>강수량(mm)</t>
    <phoneticPr fontId="3" type="noConversion"/>
  </si>
  <si>
    <t>지역</t>
    <phoneticPr fontId="3" type="noConversion"/>
  </si>
  <si>
    <t>A1204</t>
    <phoneticPr fontId="3" type="noConversion"/>
  </si>
  <si>
    <t>영업부</t>
    <phoneticPr fontId="3" type="noConversion"/>
  </si>
  <si>
    <t>Portugal</t>
    <phoneticPr fontId="3" type="noConversion"/>
  </si>
  <si>
    <t>lisbon</t>
    <phoneticPr fontId="3" type="noConversion"/>
  </si>
  <si>
    <t>A1205</t>
    <phoneticPr fontId="3" type="noConversion"/>
  </si>
  <si>
    <t>총무부</t>
    <phoneticPr fontId="3" type="noConversion"/>
  </si>
  <si>
    <t>Spain</t>
    <phoneticPr fontId="3" type="noConversion"/>
  </si>
  <si>
    <t>madrid</t>
    <phoneticPr fontId="3" type="noConversion"/>
  </si>
  <si>
    <t>기획부</t>
    <phoneticPr fontId="3" type="noConversion"/>
  </si>
  <si>
    <t>France</t>
    <phoneticPr fontId="3" type="noConversion"/>
  </si>
  <si>
    <t>paris</t>
    <phoneticPr fontId="3" type="noConversion"/>
  </si>
  <si>
    <t>England</t>
    <phoneticPr fontId="3" type="noConversion"/>
  </si>
  <si>
    <t>london</t>
    <phoneticPr fontId="3" type="noConversion"/>
  </si>
  <si>
    <t>Sweden</t>
    <phoneticPr fontId="3" type="noConversion"/>
  </si>
  <si>
    <t>stockholm</t>
    <phoneticPr fontId="3" type="noConversion"/>
  </si>
  <si>
    <t>Germany</t>
    <phoneticPr fontId="3" type="noConversion"/>
  </si>
  <si>
    <t>berlin</t>
    <phoneticPr fontId="3" type="noConversion"/>
  </si>
  <si>
    <t>Netherland</t>
    <phoneticPr fontId="3" type="noConversion"/>
  </si>
  <si>
    <t>amsterdam</t>
    <phoneticPr fontId="3" type="noConversion"/>
  </si>
  <si>
    <t>Switzerland</t>
    <phoneticPr fontId="3" type="noConversion"/>
  </si>
  <si>
    <t>bern</t>
    <phoneticPr fontId="3" type="noConversion"/>
  </si>
  <si>
    <t>인원수</t>
    <phoneticPr fontId="3" type="noConversion"/>
  </si>
  <si>
    <t>[표5] 아르바이트 모집 채용 결정(미성년자 여부 확인)</t>
    <phoneticPr fontId="3" type="noConversion"/>
  </si>
  <si>
    <t>채용지점</t>
    <phoneticPr fontId="3" type="noConversion"/>
  </si>
  <si>
    <t>생년월일</t>
    <phoneticPr fontId="3" type="noConversion"/>
  </si>
  <si>
    <t>채용여부</t>
    <phoneticPr fontId="3" type="noConversion"/>
  </si>
  <si>
    <t>천연희</t>
    <phoneticPr fontId="3" type="noConversion"/>
  </si>
  <si>
    <t>마포</t>
    <phoneticPr fontId="3" type="noConversion"/>
  </si>
  <si>
    <t>방한성</t>
    <phoneticPr fontId="3" type="noConversion"/>
  </si>
  <si>
    <t>동대문</t>
    <phoneticPr fontId="3" type="noConversion"/>
  </si>
  <si>
    <t>류철희</t>
    <phoneticPr fontId="3" type="noConversion"/>
  </si>
  <si>
    <t>상계</t>
    <phoneticPr fontId="3" type="noConversion"/>
  </si>
  <si>
    <t>최혜정</t>
    <phoneticPr fontId="3" type="noConversion"/>
  </si>
  <si>
    <t>김재하</t>
    <phoneticPr fontId="3" type="noConversion"/>
  </si>
  <si>
    <t>허마일</t>
    <phoneticPr fontId="3" type="noConversion"/>
  </si>
  <si>
    <t>문이수</t>
    <phoneticPr fontId="3" type="noConversion"/>
  </si>
  <si>
    <t>고정호</t>
    <phoneticPr fontId="3" type="noConversion"/>
  </si>
  <si>
    <t>마장도</t>
    <phoneticPr fontId="3" type="noConversion"/>
  </si>
  <si>
    <t>박상도</t>
    <phoneticPr fontId="3" type="noConversion"/>
  </si>
  <si>
    <t>역삼</t>
    <phoneticPr fontId="3" type="noConversion"/>
  </si>
  <si>
    <t>이문주</t>
    <phoneticPr fontId="3" type="noConversion"/>
  </si>
  <si>
    <t>강희연</t>
    <phoneticPr fontId="3" type="noConversion"/>
  </si>
  <si>
    <t>기준일</t>
    <phoneticPr fontId="3" type="noConversion"/>
  </si>
  <si>
    <t>학자금A형</t>
    <phoneticPr fontId="3" type="noConversion"/>
  </si>
  <si>
    <t>학자금B형</t>
    <phoneticPr fontId="3" type="noConversion"/>
  </si>
  <si>
    <t>학자금A형</t>
    <phoneticPr fontId="3" type="noConversion"/>
  </si>
  <si>
    <t>학생별 생활지도자료 현황표</t>
    <phoneticPr fontId="3" type="noConversion"/>
  </si>
  <si>
    <t>일련번호</t>
    <phoneticPr fontId="3" type="noConversion"/>
  </si>
  <si>
    <t>성명</t>
    <phoneticPr fontId="3" type="noConversion"/>
  </si>
  <si>
    <t>출결사항</t>
    <phoneticPr fontId="3" type="noConversion"/>
  </si>
  <si>
    <t>자격증 개수</t>
    <phoneticPr fontId="3" type="noConversion"/>
  </si>
  <si>
    <t>결석</t>
    <phoneticPr fontId="3" type="noConversion"/>
  </si>
  <si>
    <t>지각</t>
    <phoneticPr fontId="3" type="noConversion"/>
  </si>
  <si>
    <t>조퇴</t>
    <phoneticPr fontId="3" type="noConversion"/>
  </si>
  <si>
    <t>결과</t>
    <phoneticPr fontId="3" type="noConversion"/>
  </si>
  <si>
    <t>강현철</t>
    <phoneticPr fontId="3" type="noConversion"/>
  </si>
  <si>
    <t>지남식</t>
    <phoneticPr fontId="3" type="noConversion"/>
  </si>
  <si>
    <t>이현식</t>
    <phoneticPr fontId="3" type="noConversion"/>
  </si>
  <si>
    <t>강하나</t>
    <phoneticPr fontId="3" type="noConversion"/>
  </si>
  <si>
    <t>최창섭</t>
    <phoneticPr fontId="3" type="noConversion"/>
  </si>
  <si>
    <t>노영애</t>
    <phoneticPr fontId="3" type="noConversion"/>
  </si>
  <si>
    <t>이관우</t>
    <phoneticPr fontId="3" type="noConversion"/>
  </si>
  <si>
    <t>김상문</t>
    <phoneticPr fontId="3" type="noConversion"/>
  </si>
  <si>
    <t>문성원</t>
    <phoneticPr fontId="3" type="noConversion"/>
  </si>
  <si>
    <t>배공저</t>
    <phoneticPr fontId="3" type="noConversion"/>
  </si>
  <si>
    <t>강진찬</t>
    <phoneticPr fontId="3" type="noConversion"/>
  </si>
  <si>
    <t>조동일</t>
    <phoneticPr fontId="3" type="noConversion"/>
  </si>
  <si>
    <t>자퇴</t>
    <phoneticPr fontId="3" type="noConversion"/>
  </si>
  <si>
    <r>
      <t xml:space="preserve">(단위 </t>
    </r>
    <r>
      <rPr>
        <sz val="11"/>
        <color theme="1"/>
        <rFont val="맑은 고딕"/>
        <family val="3"/>
        <charset val="129"/>
      </rPr>
      <t>: 천원)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</si>
  <si>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</rPr>
      <t>2] 해외 테마 연수 여행자 명단</t>
    </r>
    <phoneticPr fontId="3" type="noConversion"/>
  </si>
  <si>
    <r>
      <t>D</t>
    </r>
    <r>
      <rPr>
        <sz val="11"/>
        <color theme="1"/>
        <rFont val="맑은 고딕"/>
        <family val="3"/>
        <charset val="129"/>
      </rPr>
      <t>C-01FHA</t>
    </r>
    <phoneticPr fontId="3" type="noConversion"/>
  </si>
  <si>
    <r>
      <t>판매단가표</t>
    </r>
    <r>
      <rPr>
        <sz val="11"/>
        <color theme="1"/>
        <rFont val="맑은 고딕"/>
        <family val="3"/>
        <charset val="129"/>
      </rPr>
      <t xml:space="preserve">  (단위 : 천원)</t>
    </r>
    <phoneticPr fontId="3" type="noConversion"/>
  </si>
  <si>
    <r>
      <t>F</t>
    </r>
    <r>
      <rPr>
        <sz val="11"/>
        <color theme="1"/>
        <rFont val="맑은 고딕"/>
        <family val="3"/>
        <charset val="129"/>
      </rPr>
      <t>HB</t>
    </r>
    <phoneticPr fontId="3" type="noConversion"/>
  </si>
  <si>
    <r>
      <t>F</t>
    </r>
    <r>
      <rPr>
        <sz val="11"/>
        <color theme="1"/>
        <rFont val="맑은 고딕"/>
        <family val="3"/>
        <charset val="129"/>
      </rPr>
      <t>HC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</si>
  <si>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</rPr>
      <t>4] 유럽 8개국 연평균 강수량</t>
    </r>
    <phoneticPr fontId="3" type="noConversion"/>
  </si>
  <si>
    <t>주거형태별 소비지출 내역</t>
    <phoneticPr fontId="3" type="noConversion"/>
  </si>
  <si>
    <t>세대주</t>
    <phoneticPr fontId="3" type="noConversion"/>
  </si>
  <si>
    <t>주거형태</t>
    <phoneticPr fontId="3" type="noConversion"/>
  </si>
  <si>
    <t>가족수</t>
    <phoneticPr fontId="3" type="noConversion"/>
  </si>
  <si>
    <t>월소득</t>
    <phoneticPr fontId="3" type="noConversion"/>
  </si>
  <si>
    <t>피복비</t>
    <phoneticPr fontId="3" type="noConversion"/>
  </si>
  <si>
    <t>식비</t>
    <phoneticPr fontId="3" type="noConversion"/>
  </si>
  <si>
    <t>문화생활비</t>
    <phoneticPr fontId="3" type="noConversion"/>
  </si>
  <si>
    <t>이선미</t>
    <phoneticPr fontId="3" type="noConversion"/>
  </si>
  <si>
    <t>아파트</t>
    <phoneticPr fontId="3" type="noConversion"/>
  </si>
  <si>
    <t>김성환</t>
    <phoneticPr fontId="3" type="noConversion"/>
  </si>
  <si>
    <t>단독주택</t>
    <phoneticPr fontId="3" type="noConversion"/>
  </si>
  <si>
    <t>변아영</t>
    <phoneticPr fontId="3" type="noConversion"/>
  </si>
  <si>
    <t>송재호</t>
    <phoneticPr fontId="3" type="noConversion"/>
  </si>
  <si>
    <t>박성수</t>
    <phoneticPr fontId="3" type="noConversion"/>
  </si>
  <si>
    <t>진성미</t>
    <phoneticPr fontId="3" type="noConversion"/>
  </si>
  <si>
    <t>최성국</t>
    <phoneticPr fontId="3" type="noConversion"/>
  </si>
  <si>
    <t>혼수품목 매출 현황</t>
    <phoneticPr fontId="3" type="noConversion"/>
  </si>
  <si>
    <t>(단위:만원)</t>
    <phoneticPr fontId="3" type="noConversion"/>
  </si>
  <si>
    <t>중소기업 임금 현황</t>
    <phoneticPr fontId="3" type="noConversion"/>
  </si>
  <si>
    <t>고객별 대출 현황</t>
    <phoneticPr fontId="3" type="noConversion"/>
  </si>
  <si>
    <r>
      <t>[표</t>
    </r>
    <r>
      <rPr>
        <sz val="11"/>
        <color theme="1"/>
        <rFont val="맑은 고딕"/>
        <family val="3"/>
        <charset val="129"/>
      </rPr>
      <t>1] 디지털카메라 판매 현황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</si>
  <si>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</rPr>
      <t>3] 2022 신입 사원 현황</t>
    </r>
    <phoneticPr fontId="3" type="noConversion"/>
  </si>
  <si>
    <t>지역별 1/4분기 제품별 판매 현황</t>
    <phoneticPr fontId="3" type="noConversion"/>
  </si>
  <si>
    <t>[표1] 서울지역 판매 내역</t>
    <phoneticPr fontId="3" type="noConversion"/>
  </si>
  <si>
    <t>[표2] 경기지역 판매 내역</t>
    <phoneticPr fontId="3" type="noConversion"/>
  </si>
  <si>
    <t>[표3] 부산지역 판매 내역</t>
    <phoneticPr fontId="3" type="noConversion"/>
  </si>
  <si>
    <t>[표4] 전국 판매 내역</t>
    <phoneticPr fontId="3" type="noConversion"/>
  </si>
  <si>
    <t>회사명</t>
    <phoneticPr fontId="3" type="noConversion"/>
  </si>
  <si>
    <t>업종</t>
    <phoneticPr fontId="3" type="noConversion"/>
  </si>
  <si>
    <t>창업연도</t>
    <phoneticPr fontId="3" type="noConversion"/>
  </si>
  <si>
    <t>사원수</t>
    <phoneticPr fontId="3" type="noConversion"/>
  </si>
  <si>
    <t>평균월급여</t>
    <phoneticPr fontId="3" type="noConversion"/>
  </si>
  <si>
    <t>㈜미림정밀</t>
    <phoneticPr fontId="3" type="noConversion"/>
  </si>
  <si>
    <t>기계(MACHINE)</t>
    <phoneticPr fontId="3" type="noConversion"/>
  </si>
  <si>
    <t>1985년</t>
    <phoneticPr fontId="3" type="noConversion"/>
  </si>
  <si>
    <t>40명</t>
    <phoneticPr fontId="3" type="noConversion"/>
  </si>
  <si>
    <t>12년</t>
    <phoneticPr fontId="3" type="noConversion"/>
  </si>
  <si>
    <t>세화공업</t>
    <phoneticPr fontId="3" type="noConversion"/>
  </si>
  <si>
    <t>금속(METAL)</t>
    <phoneticPr fontId="3" type="noConversion"/>
  </si>
  <si>
    <t>1977년</t>
    <phoneticPr fontId="3" type="noConversion"/>
  </si>
  <si>
    <t>35명</t>
    <phoneticPr fontId="3" type="noConversion"/>
  </si>
  <si>
    <t>17년</t>
    <phoneticPr fontId="3" type="noConversion"/>
  </si>
  <si>
    <t>보라매유통</t>
    <phoneticPr fontId="3" type="noConversion"/>
  </si>
  <si>
    <t>유통(DISTRIBUTION)</t>
    <phoneticPr fontId="3" type="noConversion"/>
  </si>
  <si>
    <t>1989년</t>
    <phoneticPr fontId="3" type="noConversion"/>
  </si>
  <si>
    <t>50명</t>
    <phoneticPr fontId="3" type="noConversion"/>
  </si>
  <si>
    <t>8년</t>
    <phoneticPr fontId="3" type="noConversion"/>
  </si>
  <si>
    <t>일신상사</t>
    <phoneticPr fontId="3" type="noConversion"/>
  </si>
  <si>
    <t>2000년</t>
    <phoneticPr fontId="3" type="noConversion"/>
  </si>
  <si>
    <t>25명</t>
    <phoneticPr fontId="3" type="noConversion"/>
  </si>
  <si>
    <t>2년</t>
    <phoneticPr fontId="3" type="noConversion"/>
  </si>
  <si>
    <t>나라금속</t>
    <phoneticPr fontId="3" type="noConversion"/>
  </si>
  <si>
    <t>1990년</t>
    <phoneticPr fontId="3" type="noConversion"/>
  </si>
  <si>
    <t>52명</t>
    <phoneticPr fontId="3" type="noConversion"/>
  </si>
  <si>
    <t>6년</t>
    <phoneticPr fontId="3" type="noConversion"/>
  </si>
  <si>
    <t>영화섬유㈜</t>
    <phoneticPr fontId="3" type="noConversion"/>
  </si>
  <si>
    <t>섬유(TEXTILE)</t>
    <phoneticPr fontId="3" type="noConversion"/>
  </si>
  <si>
    <t>1983년</t>
    <phoneticPr fontId="3" type="noConversion"/>
  </si>
  <si>
    <t>30명</t>
    <phoneticPr fontId="3" type="noConversion"/>
  </si>
  <si>
    <t>11년</t>
    <phoneticPr fontId="3" type="noConversion"/>
  </si>
  <si>
    <t>성일기계</t>
    <phoneticPr fontId="3" type="noConversion"/>
  </si>
  <si>
    <t>2001년</t>
    <phoneticPr fontId="3" type="noConversion"/>
  </si>
  <si>
    <t>45명</t>
    <phoneticPr fontId="3" type="noConversion"/>
  </si>
  <si>
    <t>1년</t>
    <phoneticPr fontId="3" type="noConversion"/>
  </si>
  <si>
    <t>평균근무연도</t>
    <phoneticPr fontId="3" type="noConversion"/>
  </si>
  <si>
    <t>1학년</t>
    <phoneticPr fontId="3" type="noConversion"/>
  </si>
  <si>
    <t>2학년</t>
    <phoneticPr fontId="3" type="noConversion"/>
  </si>
  <si>
    <t>순이익율</t>
  </si>
  <si>
    <t>순이익합계</t>
  </si>
  <si>
    <t>순이익 인상</t>
  </si>
  <si>
    <t>순이익 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</si>
  <si>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</si>
  <si>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</si>
  <si>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</si>
  <si>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</si>
  <si>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</si>
  <si>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</si>
  <si>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</si>
  <si>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[표1] 스포츠센타별 수입 현황</t>
  </si>
  <si>
    <t>스포츠센타</t>
  </si>
  <si>
    <t>전화번호</t>
  </si>
  <si>
    <t>수강인원</t>
  </si>
  <si>
    <t>헬스</t>
  </si>
  <si>
    <t>수영</t>
  </si>
  <si>
    <t>에어로빅</t>
  </si>
  <si>
    <t>총수입액</t>
  </si>
  <si>
    <t>금호스포츠</t>
  </si>
  <si>
    <t>930-6624</t>
  </si>
  <si>
    <t>129명</t>
  </si>
  <si>
    <t>미도파스포츠</t>
  </si>
  <si>
    <t>778-0012</t>
  </si>
  <si>
    <t>150명</t>
  </si>
  <si>
    <t>노원체육관</t>
  </si>
  <si>
    <t>962-0909</t>
  </si>
  <si>
    <t>98명</t>
  </si>
  <si>
    <t>청소년수련관</t>
  </si>
  <si>
    <t>465-0987</t>
  </si>
  <si>
    <t>132명</t>
  </si>
  <si>
    <t>서울스포츠</t>
  </si>
  <si>
    <t>367-1123</t>
  </si>
  <si>
    <t>89명</t>
  </si>
  <si>
    <t>경동체육관</t>
  </si>
  <si>
    <t>456-0123</t>
  </si>
  <si>
    <t>105명</t>
  </si>
  <si>
    <t>성동스포츠</t>
  </si>
  <si>
    <t>2299-0972</t>
  </si>
  <si>
    <t>78명</t>
  </si>
  <si>
    <t>백미나스포츠</t>
  </si>
  <si>
    <t>567-5890</t>
  </si>
  <si>
    <t>136명</t>
  </si>
  <si>
    <t>미성체육관</t>
  </si>
  <si>
    <t>943-0705</t>
  </si>
  <si>
    <t>82명</t>
  </si>
  <si>
    <t>2023년 12월 현재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</si>
</sst>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00"/>
  </numFmts>
  <fonts count="18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name val="맑은 고딕"/>
      <family val="3"/>
      <charset val="129"/>
    </font>
    <font>
      <b/>
      <u/>
      <sz val="14"/>
      <name val="맑은 고딕"/>
      <family val="3"/>
      <charset val="129"/>
    </font>
    <font>
      <sz val="11"/>
      <color theme="1"/>
      <name val="맑은 고딕"/>
      <family val="2"/>
      <charset val="129"/>
    </font>
    <font>
      <b/>
      <sz val="11"/>
      <color rgb="FFFF0000"/>
      <name val="맑은 고딕"/>
      <family val="3"/>
      <charset val="129"/>
    </font>
    <font>
      <sz val="11"/>
      <color indexed="9"/>
      <name val="맑은 고딕"/>
      <family val="2"/>
      <charset val="129"/>
    </font>
    <font>
      <sz val="11"/>
      <color indexed="9"/>
      <name val="맑은 고딕"/>
      <family val="3"/>
      <charset val="129"/>
    </font>
    <font>
      <sz val="11"/>
      <color indexed="8"/>
      <name val="맑은 고딕"/>
      <family val="2"/>
      <charset val="129"/>
    </font>
    <font>
      <sz val="11"/>
      <color indexed="18"/>
      <name val="맑은 고딕"/>
      <family val="2"/>
      <charset val="129"/>
    </font>
    <font>
      <sz val="11"/>
      <color indexed="18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u/>
      <sz val="18"/>
      <color theme="1"/>
      <name val="바탕체"/>
      <family val="1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42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4" fillId="0" borderId="1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vertical="center"/>
    </xf>
    <xf numFmtId="0" fontId="4" fillId="0" borderId="1" xfId="1" applyFont="1" applyBorder="1" applyAlignment="1">
      <alignment vertical="center"/>
    </xf>
    <xf numFmtId="42" fontId="5" fillId="0" borderId="1" xfId="2" applyFont="1" applyBorder="1" applyAlignment="1">
      <alignment vertical="center"/>
    </xf>
    <xf numFmtId="41" fontId="4" fillId="0" borderId="1" xfId="3" applyFont="1" applyBorder="1" applyAlignment="1">
      <alignment vertical="center"/>
    </xf>
    <xf numFmtId="9" fontId="4" fillId="0" borderId="1" xfId="1" applyNumberFormat="1" applyFont="1" applyBorder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horizontal="right" vertical="center"/>
    </xf>
    <xf numFmtId="0" fontId="4" fillId="2" borderId="1" xfId="1" applyFont="1" applyFill="1" applyBorder="1" applyAlignment="1">
      <alignment horizontal="center" vertical="center"/>
    </xf>
    <xf numFmtId="176" fontId="4" fillId="0" borderId="1" xfId="1" applyNumberFormat="1" applyFont="1" applyBorder="1" applyAlignment="1">
      <alignment horizontal="center" vertical="center"/>
    </xf>
    <xf numFmtId="41" fontId="4" fillId="0" borderId="1" xfId="3" applyFont="1" applyFill="1" applyBorder="1" applyAlignment="1">
      <alignment horizontal="right" vertical="center"/>
    </xf>
    <xf numFmtId="41" fontId="4" fillId="0" borderId="1" xfId="3" applyFont="1" applyBorder="1" applyAlignment="1">
      <alignment horizontal="center" vertical="center"/>
    </xf>
    <xf numFmtId="14" fontId="4" fillId="0" borderId="1" xfId="1" applyNumberFormat="1" applyFont="1" applyBorder="1" applyAlignment="1">
      <alignment horizontal="center" vertical="center"/>
    </xf>
    <xf numFmtId="41" fontId="4" fillId="0" borderId="0" xfId="3" applyFont="1" applyBorder="1" applyAlignment="1">
      <alignment vertical="center"/>
    </xf>
    <xf numFmtId="14" fontId="4" fillId="0" borderId="1" xfId="1" applyNumberFormat="1" applyFont="1" applyBorder="1" applyAlignment="1">
      <alignment vertical="center"/>
    </xf>
    <xf numFmtId="42" fontId="5" fillId="0" borderId="1" xfId="2" applyFont="1" applyBorder="1" applyAlignment="1">
      <alignment horizontal="center" vertical="center"/>
    </xf>
    <xf numFmtId="41" fontId="5" fillId="0" borderId="1" xfId="3" applyFont="1" applyBorder="1" applyAlignment="1">
      <alignment vertical="center"/>
    </xf>
    <xf numFmtId="14" fontId="5" fillId="0" borderId="1" xfId="2" applyNumberFormat="1" applyFont="1" applyBorder="1" applyAlignment="1">
      <alignment vertical="center"/>
    </xf>
    <xf numFmtId="9" fontId="0" fillId="0" borderId="0" xfId="0" applyNumberFormat="1">
      <alignment vertical="center"/>
    </xf>
    <xf numFmtId="41" fontId="0" fillId="0" borderId="6" xfId="0" applyNumberFormat="1" applyBorder="1">
      <alignment vertical="center"/>
    </xf>
    <xf numFmtId="0" fontId="11" fillId="4" borderId="7" xfId="0" applyFont="1" applyFill="1" applyBorder="1" applyAlignment="1">
      <alignment horizontal="left" vertical="center"/>
    </xf>
    <xf numFmtId="0" fontId="10" fillId="4" borderId="5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0" fillId="0" borderId="8" xfId="0" applyBorder="1">
      <alignment vertical="center"/>
    </xf>
    <xf numFmtId="0" fontId="12" fillId="5" borderId="0" xfId="0" applyFont="1" applyFill="1" applyAlignment="1">
      <alignment horizontal="left" vertical="center"/>
    </xf>
    <xf numFmtId="0" fontId="13" fillId="5" borderId="8" xfId="0" applyFont="1" applyFill="1" applyBorder="1" applyAlignment="1">
      <alignment horizontal="left" vertical="center"/>
    </xf>
    <xf numFmtId="0" fontId="14" fillId="5" borderId="8" xfId="0" applyFont="1" applyFill="1" applyBorder="1" applyAlignment="1">
      <alignment horizontal="left" vertical="center"/>
    </xf>
    <xf numFmtId="0" fontId="12" fillId="5" borderId="6" xfId="0" applyFont="1" applyFill="1" applyBorder="1" applyAlignment="1">
      <alignment horizontal="left" vertical="center"/>
    </xf>
    <xf numFmtId="0" fontId="10" fillId="4" borderId="5" xfId="0" applyFont="1" applyFill="1" applyBorder="1" applyAlignment="1">
      <alignment horizontal="right" vertical="center"/>
    </xf>
    <xf numFmtId="0" fontId="10" fillId="4" borderId="7" xfId="0" applyFont="1" applyFill="1" applyBorder="1" applyAlignment="1">
      <alignment horizontal="right" vertical="center"/>
    </xf>
    <xf numFmtId="9" fontId="0" fillId="6" borderId="0" xfId="0" applyNumberFormat="1" applyFill="1">
      <alignment vertical="center"/>
    </xf>
    <xf numFmtId="0" fontId="15" fillId="0" borderId="0" xfId="0" applyFont="1" applyAlignment="1">
      <alignment vertical="top" wrapText="1"/>
    </xf>
    <xf numFmtId="41" fontId="4" fillId="0" borderId="1" xfId="4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42" fontId="0" fillId="0" borderId="1" xfId="0" applyNumberFormat="1" applyBorder="1">
      <alignment vertical="center"/>
    </xf>
    <xf numFmtId="0" fontId="16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77" fontId="0" fillId="0" borderId="4" xfId="0" applyNumberFormat="1" applyBorder="1">
      <alignment vertical="center"/>
    </xf>
    <xf numFmtId="0" fontId="0" fillId="0" borderId="4" xfId="0" applyBorder="1">
      <alignment vertical="center"/>
    </xf>
    <xf numFmtId="0" fontId="9" fillId="3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vertical="center" textRotation="255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</cellXfs>
  <cellStyles count="5">
    <cellStyle name="쉼표 [0]" xfId="4" builtinId="6"/>
    <cellStyle name="쉼표 [0] 2" xfId="3" xr:uid="{00000000-0005-0000-0000-000001000000}"/>
    <cellStyle name="통화 [0] 2" xfId="2" xr:uid="{00000000-0005-0000-0000-000002000000}"/>
    <cellStyle name="표준" xfId="0" builtinId="0"/>
    <cellStyle name="표준 2" xfId="1" xr:uid="{00000000-0005-0000-0000-000004000000}"/>
  </cellStyles>
  <dxfs count="2">
    <dxf>
      <font>
        <color rgb="FFFF0000"/>
      </font>
    </dxf>
    <dxf>
      <font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바탕체" panose="02030609000101010101" pitchFamily="17" charset="-127"/>
                <a:ea typeface="바탕체" panose="02030609000101010101" pitchFamily="17" charset="-127"/>
              </a:defRPr>
            </a:pPr>
            <a:r>
              <a:rPr lang="ko-KR" altLang="en-US">
                <a:latin typeface="바탕체" panose="02030609000101010101" pitchFamily="17" charset="-127"/>
                <a:ea typeface="바탕체" panose="02030609000101010101" pitchFamily="17" charset="-127"/>
              </a:rPr>
              <a:t>소비지출 내역</a:t>
            </a:r>
            <a:r>
              <a:rPr lang="en-US" altLang="ko-KR">
                <a:latin typeface="바탕체" panose="02030609000101010101" pitchFamily="17" charset="-127"/>
                <a:ea typeface="바탕체" panose="02030609000101010101" pitchFamily="17" charset="-127"/>
              </a:rPr>
              <a:t>(</a:t>
            </a:r>
            <a:r>
              <a:rPr lang="ko-KR" altLang="en-US">
                <a:latin typeface="바탕체" panose="02030609000101010101" pitchFamily="17" charset="-127"/>
                <a:ea typeface="바탕체" panose="02030609000101010101" pitchFamily="17" charset="-127"/>
              </a:rPr>
              <a:t>단독주택</a:t>
            </a:r>
            <a:r>
              <a:rPr lang="en-US" altLang="ko-KR">
                <a:latin typeface="바탕체" panose="02030609000101010101" pitchFamily="17" charset="-127"/>
                <a:ea typeface="바탕체" panose="02030609000101010101" pitchFamily="17" charset="-127"/>
              </a:rPr>
              <a:t>)</a:t>
            </a:r>
            <a:endParaRPr lang="ko-KR" altLang="en-US">
              <a:latin typeface="바탕체" panose="02030609000101010101" pitchFamily="17" charset="-127"/>
              <a:ea typeface="바탕체" panose="02030609000101010101" pitchFamily="17" charset="-127"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차트작업!$E$3</c:f>
              <c:strCache>
                <c:ptCount val="1"/>
                <c:pt idx="0">
                  <c:v>피복비</c:v>
                </c:pt>
              </c:strCache>
            </c:strRef>
          </c:tx>
          <c:invertIfNegative val="0"/>
          <c:cat>
            <c:strRef>
              <c:f>(차트작업!$A$5,차트작업!$A$7,차트작업!$A$9:$A$10)</c:f>
              <c:strCache>
                <c:ptCount val="4"/>
                <c:pt idx="0">
                  <c:v>김성환</c:v>
                </c:pt>
                <c:pt idx="1">
                  <c:v>송재호</c:v>
                </c:pt>
                <c:pt idx="2">
                  <c:v>진성미</c:v>
                </c:pt>
                <c:pt idx="3">
                  <c:v>최성국</c:v>
                </c:pt>
              </c:strCache>
            </c:strRef>
          </c:cat>
          <c:val>
            <c:numRef>
              <c:f>(차트작업!$E$5,차트작업!$E$7,차트작업!$E$9:$E$10)</c:f>
              <c:numCache>
                <c:formatCode>_(* #,##0_);_(* \(#,##0\);_(* "-"_);_(@_)</c:formatCode>
                <c:ptCount val="4"/>
                <c:pt idx="0">
                  <c:v>630000</c:v>
                </c:pt>
                <c:pt idx="1">
                  <c:v>370000</c:v>
                </c:pt>
                <c:pt idx="2">
                  <c:v>500000</c:v>
                </c:pt>
                <c:pt idx="3">
                  <c:v>240000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B5-4959-9F20-04FC51AC5F5B}"/>
            </c:ext>
          </c:extLst>
        </c:ser>
        <c:ser>
          <c:idx val="1"/>
          <c:order val="1"/>
          <c:tx>
            <c:strRef>
              <c:f>차트작업!$F$3</c:f>
              <c:strCache>
                <c:ptCount val="1"/>
                <c:pt idx="0">
                  <c:v>식비</c:v>
                </c:pt>
              </c:strCache>
            </c:strRef>
          </c:tx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668-4CC3-B067-92993A29BCB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(차트작업!$A$5,차트작업!$A$7,차트작업!$A$9:$A$10)</c:f>
              <c:strCache>
                <c:ptCount val="4"/>
                <c:pt idx="0">
                  <c:v>김성환</c:v>
                </c:pt>
                <c:pt idx="1">
                  <c:v>송재호</c:v>
                </c:pt>
                <c:pt idx="2">
                  <c:v>진성미</c:v>
                </c:pt>
                <c:pt idx="3">
                  <c:v>최성국</c:v>
                </c:pt>
              </c:strCache>
            </c:strRef>
          </c:cat>
          <c:val>
            <c:numRef>
              <c:f>(차트작업!$F$5,차트작업!$F$7,차트작업!$F$9:$F$10)</c:f>
              <c:numCache>
                <c:formatCode>_(* #,##0_);_(* \(#,##0\);_(* "-"_);_(@_)</c:formatCode>
                <c:ptCount val="4"/>
                <c:pt idx="0">
                  <c:v>1200000</c:v>
                </c:pt>
                <c:pt idx="1">
                  <c:v>850000</c:v>
                </c:pt>
                <c:pt idx="2">
                  <c:v>300000</c:v>
                </c:pt>
                <c:pt idx="3">
                  <c:v>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B5-4959-9F20-04FC51AC5F5B}"/>
            </c:ext>
          </c:extLst>
        </c:ser>
        <c:ser>
          <c:idx val="2"/>
          <c:order val="2"/>
          <c:tx>
            <c:strRef>
              <c:f>차트작업!$G$3</c:f>
              <c:strCache>
                <c:ptCount val="1"/>
                <c:pt idx="0">
                  <c:v>문화생활비</c:v>
                </c:pt>
              </c:strCache>
            </c:strRef>
          </c:tx>
          <c:invertIfNegative val="0"/>
          <c:cat>
            <c:strRef>
              <c:f>(차트작업!$A$5,차트작업!$A$7,차트작업!$A$9:$A$10)</c:f>
              <c:strCache>
                <c:ptCount val="4"/>
                <c:pt idx="0">
                  <c:v>김성환</c:v>
                </c:pt>
                <c:pt idx="1">
                  <c:v>송재호</c:v>
                </c:pt>
                <c:pt idx="2">
                  <c:v>진성미</c:v>
                </c:pt>
                <c:pt idx="3">
                  <c:v>최성국</c:v>
                </c:pt>
              </c:strCache>
            </c:strRef>
          </c:cat>
          <c:val>
            <c:numRef>
              <c:f>(차트작업!$G$5,차트작업!$G$7,차트작업!$G$9:$G$10)</c:f>
              <c:numCache>
                <c:formatCode>_(* #,##0_);_(* \(#,##0\);_(* "-"_);_(@_)</c:formatCode>
                <c:ptCount val="4"/>
                <c:pt idx="0">
                  <c:v>800000</c:v>
                </c:pt>
                <c:pt idx="1">
                  <c:v>550000</c:v>
                </c:pt>
                <c:pt idx="2">
                  <c:v>200000</c:v>
                </c:pt>
                <c:pt idx="3">
                  <c:v>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68-4CC3-B067-92993A29B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238336"/>
        <c:axId val="84240256"/>
      </c:barChart>
      <c:catAx>
        <c:axId val="842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ko-KR" altLang="en-US" b="0"/>
                  <a:t>세대주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84240256"/>
        <c:crosses val="autoZero"/>
        <c:auto val="1"/>
        <c:lblAlgn val="ctr"/>
        <c:lblOffset val="100"/>
        <c:noMultiLvlLbl val="0"/>
      </c:catAx>
      <c:valAx>
        <c:axId val="842402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b="0"/>
                </a:pPr>
                <a:r>
                  <a:rPr lang="ko-KR" altLang="en-US" b="0"/>
                  <a:t>금액</a:t>
                </a:r>
              </a:p>
            </c:rich>
          </c:tx>
          <c:overlay val="0"/>
        </c:title>
        <c:numFmt formatCode="_(* #,##0_);_(* \(#,##0\);_(* &quot;-&quot;_);_(@_)" sourceLinked="1"/>
        <c:majorTickMark val="out"/>
        <c:minorTickMark val="none"/>
        <c:tickLblPos val="nextTo"/>
        <c:crossAx val="84238336"/>
        <c:crosses val="autoZero"/>
        <c:crossBetween val="between"/>
      </c:valAx>
    </c:plotArea>
    <c:legend>
      <c:legendPos val="b"/>
      <c:overlay val="0"/>
      <c:spPr>
        <a:solidFill>
          <a:schemeClr val="lt1"/>
        </a:solidFill>
        <a:ln w="1270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 w="25400"/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10</xdr:col>
      <xdr:colOff>0</xdr:colOff>
      <xdr:row>5</xdr:row>
      <xdr:rowOff>0</xdr:rowOff>
    </xdr:to>
    <xdr:sp macro="[0]!합계" textlink="">
      <xdr:nvSpPr>
        <xdr:cNvPr id="4" name="육각형 1">
          <a:extLst>
            <a:ext uri="{FF2B5EF4-FFF2-40B4-BE49-F238E27FC236}">
              <a16:creationId xmlns:a16="http://schemas.microsoft.com/office/drawing/2014/main" id="{50879476-C502-35B1-8286-08496BE9C6E9}"/>
            </a:ext>
          </a:extLst>
        </xdr:cNvPr>
        <xdr:cNvSpPr/>
      </xdr:nvSpPr>
      <xdr:spPr>
        <a:xfrm>
          <a:off x="7696200" y="419100"/>
          <a:ext cx="1371600" cy="628650"/>
        </a:xfrm>
        <a:prstGeom prst="hex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합계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10</xdr:col>
      <xdr:colOff>0</xdr:colOff>
      <xdr:row>9</xdr:row>
      <xdr:rowOff>0</xdr:rowOff>
    </xdr:to>
    <xdr:sp macro="[0]!서식" textlink="">
      <xdr:nvSpPr>
        <xdr:cNvPr id="5" name="다이아몬드 1">
          <a:extLst>
            <a:ext uri="{FF2B5EF4-FFF2-40B4-BE49-F238E27FC236}">
              <a16:creationId xmlns:a16="http://schemas.microsoft.com/office/drawing/2014/main" id="{FB6A3E61-C9B6-AF03-5AF8-F0726A0EF886}"/>
            </a:ext>
          </a:extLst>
        </xdr:cNvPr>
        <xdr:cNvSpPr/>
      </xdr:nvSpPr>
      <xdr:spPr>
        <a:xfrm>
          <a:off x="7696200" y="1257300"/>
          <a:ext cx="1371600" cy="628650"/>
        </a:xfrm>
        <a:prstGeom prst="diamon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30</xdr:row>
      <xdr:rowOff>0</xdr:rowOff>
    </xdr:to>
    <xdr:graphicFrame macro="">
      <xdr:nvGraphicFramePr>
        <xdr:cNvPr id="3" name="차트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&#52980;&#54504;&#53552;&#54876;&#50857;&#45733;&#47141;%202&#44553;%20&#49892;&#44592;\Part02\&#51228;15&#54924;%20&#49892;&#51204;&#47784;&#51032;&#44256;&#49324;\&#51228;15&#54924;%20&#49892;&#51204;&#47784;&#51032;&#44256;&#49324;.xlsm" TargetMode="External"/><Relationship Id="rId1" Type="http://schemas.openxmlformats.org/officeDocument/2006/relationships/externalLinkPath" Target="&#51228;15&#54924;%20&#49892;&#51204;&#47784;&#51032;&#44256;&#4932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E3" t="str">
            <v>피복비</v>
          </cell>
          <cell r="F3" t="str">
            <v>식비</v>
          </cell>
        </row>
        <row r="5">
          <cell r="A5" t="str">
            <v>김성환</v>
          </cell>
          <cell r="E5">
            <v>630000</v>
          </cell>
          <cell r="F5">
            <v>1200000</v>
          </cell>
        </row>
        <row r="7">
          <cell r="A7" t="str">
            <v>송재호</v>
          </cell>
          <cell r="E7">
            <v>370000</v>
          </cell>
          <cell r="F7">
            <v>850000</v>
          </cell>
        </row>
        <row r="9">
          <cell r="A9" t="str">
            <v>진성미</v>
          </cell>
          <cell r="E9">
            <v>500000</v>
          </cell>
          <cell r="F9">
            <v>300000</v>
          </cell>
        </row>
        <row r="10">
          <cell r="A10" t="str">
            <v>최성국</v>
          </cell>
          <cell r="E10">
            <v>240000</v>
          </cell>
          <cell r="F10">
            <v>700000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tabSelected="1" workbookViewId="0"/>
  </sheetViews>
  <sheetFormatPr defaultRowHeight="16.5"/>
  <cols>
    <col min="1" max="1" width="11.125" style="3" bestFit="1" customWidth="1"/>
    <col min="2" max="2" width="19.875" style="3" bestFit="1" customWidth="1"/>
    <col min="3" max="4" width="9" style="3"/>
    <col min="5" max="5" width="11.125" style="3" bestFit="1" customWidth="1"/>
    <col min="6" max="6" width="16.625" style="3" bestFit="1" customWidth="1"/>
    <col min="7" max="16384" width="9" style="3"/>
  </cols>
  <sheetData>
    <row r="1" spans="1:6">
      <c r="A1" s="3" t="s">
        <v>195</v>
      </c>
    </row>
    <row r="2" spans="1:6">
      <c r="F2" s="3" t="s">
        <v>290</v>
      </c>
    </row>
    <row r="3" spans="1:6">
      <c r="A3" s="3" t="s">
        <v>204</v>
      </c>
      <c r="B3" s="3" t="s">
        <v>205</v>
      </c>
      <c r="C3" s="3" t="s">
        <v>206</v>
      </c>
      <c r="D3" s="3" t="s">
        <v>207</v>
      </c>
      <c r="E3" s="3" t="s">
        <v>208</v>
      </c>
      <c r="F3" s="3" t="s">
        <v>241</v>
      </c>
    </row>
    <row r="4" spans="1:6">
      <c r="A4" s="3" t="s">
        <v>209</v>
      </c>
      <c r="B4" s="3" t="s">
        <v>210</v>
      </c>
      <c r="C4" s="3" t="s">
        <v>211</v>
      </c>
      <c r="D4" s="3" t="s">
        <v>212</v>
      </c>
      <c r="E4" s="3">
        <v>1500000</v>
      </c>
      <c r="F4" s="3" t="s">
        <v>213</v>
      </c>
    </row>
    <row r="5" spans="1:6">
      <c r="A5" s="3" t="s">
        <v>214</v>
      </c>
      <c r="B5" s="3" t="s">
        <v>215</v>
      </c>
      <c r="C5" s="3" t="s">
        <v>216</v>
      </c>
      <c r="D5" s="3" t="s">
        <v>217</v>
      </c>
      <c r="E5" s="3">
        <v>1650000</v>
      </c>
      <c r="F5" s="3" t="s">
        <v>218</v>
      </c>
    </row>
    <row r="6" spans="1:6">
      <c r="A6" s="3" t="s">
        <v>219</v>
      </c>
      <c r="B6" s="3" t="s">
        <v>220</v>
      </c>
      <c r="C6" s="3" t="s">
        <v>221</v>
      </c>
      <c r="D6" s="3" t="s">
        <v>222</v>
      </c>
      <c r="E6" s="3">
        <v>1000000</v>
      </c>
      <c r="F6" s="3" t="s">
        <v>223</v>
      </c>
    </row>
    <row r="7" spans="1:6">
      <c r="A7" s="3" t="s">
        <v>224</v>
      </c>
      <c r="B7" s="3" t="s">
        <v>220</v>
      </c>
      <c r="C7" s="3" t="s">
        <v>225</v>
      </c>
      <c r="D7" s="3" t="s">
        <v>226</v>
      </c>
      <c r="E7" s="3">
        <v>800000</v>
      </c>
      <c r="F7" s="3" t="s">
        <v>227</v>
      </c>
    </row>
    <row r="8" spans="1:6">
      <c r="A8" s="3" t="s">
        <v>228</v>
      </c>
      <c r="B8" s="3" t="s">
        <v>215</v>
      </c>
      <c r="C8" s="3" t="s">
        <v>229</v>
      </c>
      <c r="D8" s="3" t="s">
        <v>230</v>
      </c>
      <c r="E8" s="3">
        <v>950000</v>
      </c>
      <c r="F8" s="3" t="s">
        <v>231</v>
      </c>
    </row>
    <row r="9" spans="1:6">
      <c r="A9" s="3" t="s">
        <v>232</v>
      </c>
      <c r="B9" s="3" t="s">
        <v>233</v>
      </c>
      <c r="C9" s="3" t="s">
        <v>234</v>
      </c>
      <c r="D9" s="3" t="s">
        <v>235</v>
      </c>
      <c r="E9" s="3">
        <v>1200000</v>
      </c>
      <c r="F9" s="3" t="s">
        <v>236</v>
      </c>
    </row>
    <row r="10" spans="1:6">
      <c r="A10" s="3" t="s">
        <v>237</v>
      </c>
      <c r="B10" s="3" t="s">
        <v>210</v>
      </c>
      <c r="C10" s="3" t="s">
        <v>238</v>
      </c>
      <c r="D10" s="3" t="s">
        <v>239</v>
      </c>
      <c r="E10" s="3">
        <v>750000</v>
      </c>
      <c r="F10" s="3" t="s">
        <v>240</v>
      </c>
    </row>
  </sheetData>
  <phoneticPr fontId="2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&amp;C&amp;F</oddHeader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J16"/>
  <sheetViews>
    <sheetView workbookViewId="0"/>
  </sheetViews>
  <sheetFormatPr defaultRowHeight="16.5"/>
  <cols>
    <col min="1" max="1" width="3.5" customWidth="1"/>
    <col min="2" max="2" width="8.625" customWidth="1"/>
    <col min="3" max="3" width="8.375" customWidth="1"/>
    <col min="4" max="4" width="9.25" bestFit="1" customWidth="1"/>
    <col min="5" max="9" width="7.375" customWidth="1"/>
    <col min="10" max="10" width="10.75" customWidth="1"/>
  </cols>
  <sheetData>
    <row r="1" spans="2:10" ht="22.5">
      <c r="B1" s="45" t="s">
        <v>147</v>
      </c>
      <c r="C1" s="45"/>
      <c r="D1" s="45"/>
      <c r="E1" s="45"/>
      <c r="F1" s="45"/>
      <c r="G1" s="45"/>
      <c r="H1" s="45"/>
      <c r="I1" s="45"/>
      <c r="J1" s="45"/>
    </row>
    <row r="3" spans="2:10">
      <c r="B3" s="44" t="s">
        <v>148</v>
      </c>
      <c r="C3" s="44" t="s">
        <v>149</v>
      </c>
      <c r="D3" s="44" t="s">
        <v>150</v>
      </c>
      <c r="E3" s="44"/>
      <c r="F3" s="44"/>
      <c r="G3" s="44"/>
      <c r="H3" s="44"/>
      <c r="I3" s="44"/>
      <c r="J3" s="44" t="s">
        <v>151</v>
      </c>
    </row>
    <row r="4" spans="2:10">
      <c r="B4" s="44"/>
      <c r="C4" s="44"/>
      <c r="D4" s="38" t="s">
        <v>242</v>
      </c>
      <c r="E4" s="38" t="s">
        <v>243</v>
      </c>
      <c r="F4" s="38" t="s">
        <v>152</v>
      </c>
      <c r="G4" s="38" t="s">
        <v>153</v>
      </c>
      <c r="H4" s="38" t="s">
        <v>154</v>
      </c>
      <c r="I4" s="38" t="s">
        <v>155</v>
      </c>
      <c r="J4" s="44"/>
    </row>
    <row r="5" spans="2:10">
      <c r="B5" s="39">
        <v>1</v>
      </c>
      <c r="C5" s="35" t="s">
        <v>156</v>
      </c>
      <c r="D5" s="40">
        <v>1</v>
      </c>
      <c r="E5" s="40">
        <v>3</v>
      </c>
      <c r="F5" s="40">
        <v>0</v>
      </c>
      <c r="G5" s="40">
        <v>0</v>
      </c>
      <c r="H5" s="40">
        <v>0</v>
      </c>
      <c r="I5" s="40">
        <v>0</v>
      </c>
      <c r="J5" s="39">
        <v>1</v>
      </c>
    </row>
    <row r="6" spans="2:10">
      <c r="B6" s="39">
        <v>2</v>
      </c>
      <c r="C6" s="35" t="s">
        <v>157</v>
      </c>
      <c r="D6" s="40">
        <v>3</v>
      </c>
      <c r="E6" s="40">
        <v>2</v>
      </c>
      <c r="F6" s="40">
        <v>2</v>
      </c>
      <c r="G6" s="40">
        <v>1</v>
      </c>
      <c r="H6" s="40">
        <v>2</v>
      </c>
      <c r="I6" s="40">
        <v>2</v>
      </c>
      <c r="J6" s="39">
        <v>2</v>
      </c>
    </row>
    <row r="7" spans="2:10">
      <c r="B7" s="39">
        <v>3</v>
      </c>
      <c r="C7" s="35" t="s">
        <v>158</v>
      </c>
      <c r="D7" s="40">
        <v>5</v>
      </c>
      <c r="E7" s="40">
        <v>3</v>
      </c>
      <c r="F7" s="40">
        <v>5</v>
      </c>
      <c r="G7" s="40">
        <v>3</v>
      </c>
      <c r="H7" s="40">
        <v>10</v>
      </c>
      <c r="I7" s="40">
        <v>0</v>
      </c>
      <c r="J7" s="39">
        <v>3</v>
      </c>
    </row>
    <row r="8" spans="2:10">
      <c r="B8" s="39">
        <v>4</v>
      </c>
      <c r="C8" s="35" t="s">
        <v>159</v>
      </c>
      <c r="D8" s="40">
        <v>4</v>
      </c>
      <c r="E8" s="40">
        <v>5</v>
      </c>
      <c r="F8" s="40">
        <v>7</v>
      </c>
      <c r="G8" s="40">
        <v>15</v>
      </c>
      <c r="H8" s="40">
        <v>12</v>
      </c>
      <c r="I8" s="40">
        <v>4</v>
      </c>
      <c r="J8" s="39">
        <v>2</v>
      </c>
    </row>
    <row r="9" spans="2:10">
      <c r="B9" s="39">
        <v>5</v>
      </c>
      <c r="C9" s="35" t="s">
        <v>160</v>
      </c>
      <c r="D9" s="40">
        <v>6</v>
      </c>
      <c r="E9" s="40">
        <v>7</v>
      </c>
      <c r="F9" s="40">
        <v>2</v>
      </c>
      <c r="G9" s="40">
        <v>22</v>
      </c>
      <c r="H9" s="40">
        <v>4</v>
      </c>
      <c r="I9" s="40">
        <v>0</v>
      </c>
      <c r="J9" s="39">
        <v>1</v>
      </c>
    </row>
    <row r="10" spans="2:10">
      <c r="B10" s="39">
        <v>6</v>
      </c>
      <c r="C10" s="35" t="s">
        <v>161</v>
      </c>
      <c r="D10" s="40">
        <v>5</v>
      </c>
      <c r="E10" s="40">
        <v>5</v>
      </c>
      <c r="F10" s="40">
        <v>0</v>
      </c>
      <c r="G10" s="40">
        <v>2</v>
      </c>
      <c r="H10" s="40">
        <v>0</v>
      </c>
      <c r="I10" s="40">
        <v>0</v>
      </c>
      <c r="J10" s="39">
        <v>5</v>
      </c>
    </row>
    <row r="11" spans="2:10">
      <c r="B11" s="39">
        <v>7</v>
      </c>
      <c r="C11" s="35" t="s">
        <v>162</v>
      </c>
      <c r="D11" s="40">
        <v>3</v>
      </c>
      <c r="E11" s="40">
        <v>2</v>
      </c>
      <c r="F11" s="40">
        <v>0</v>
      </c>
      <c r="G11" s="40">
        <v>1</v>
      </c>
      <c r="H11" s="40">
        <v>1</v>
      </c>
      <c r="I11" s="40">
        <v>1</v>
      </c>
      <c r="J11" s="39">
        <v>3</v>
      </c>
    </row>
    <row r="12" spans="2:10">
      <c r="B12" s="39">
        <v>8</v>
      </c>
      <c r="C12" s="35" t="s">
        <v>163</v>
      </c>
      <c r="D12" s="40">
        <v>2</v>
      </c>
      <c r="E12" s="40">
        <v>2</v>
      </c>
      <c r="F12" s="40">
        <v>3</v>
      </c>
      <c r="G12" s="40">
        <v>4</v>
      </c>
      <c r="H12" s="40">
        <v>2</v>
      </c>
      <c r="I12" s="40">
        <v>0</v>
      </c>
      <c r="J12" s="39">
        <v>2</v>
      </c>
    </row>
    <row r="13" spans="2:10">
      <c r="B13" s="39">
        <v>9</v>
      </c>
      <c r="C13" s="35" t="s">
        <v>164</v>
      </c>
      <c r="D13" s="40">
        <v>7</v>
      </c>
      <c r="E13" s="40">
        <v>1</v>
      </c>
      <c r="F13" s="40">
        <v>4</v>
      </c>
      <c r="G13" s="40">
        <v>2</v>
      </c>
      <c r="H13" s="40">
        <v>3</v>
      </c>
      <c r="I13" s="40">
        <v>0</v>
      </c>
      <c r="J13" s="39">
        <v>1</v>
      </c>
    </row>
    <row r="14" spans="2:10">
      <c r="B14" s="39">
        <v>10</v>
      </c>
      <c r="C14" s="35" t="s">
        <v>165</v>
      </c>
      <c r="D14" s="40">
        <v>1</v>
      </c>
      <c r="E14" s="40">
        <v>2</v>
      </c>
      <c r="F14" s="40">
        <v>0</v>
      </c>
      <c r="G14" s="40">
        <v>0</v>
      </c>
      <c r="H14" s="40">
        <v>1</v>
      </c>
      <c r="I14" s="40">
        <v>0</v>
      </c>
      <c r="J14" s="39">
        <v>0</v>
      </c>
    </row>
    <row r="15" spans="2:10">
      <c r="B15" s="39">
        <v>11</v>
      </c>
      <c r="C15" s="35" t="s">
        <v>166</v>
      </c>
      <c r="D15" s="40">
        <v>3</v>
      </c>
      <c r="E15" s="40">
        <v>6</v>
      </c>
      <c r="F15" s="40">
        <v>4</v>
      </c>
      <c r="G15" s="40">
        <v>3</v>
      </c>
      <c r="H15" s="40">
        <v>2</v>
      </c>
      <c r="I15" s="40">
        <v>1</v>
      </c>
      <c r="J15" s="39">
        <v>1</v>
      </c>
    </row>
    <row r="16" spans="2:10">
      <c r="B16" s="39">
        <v>12</v>
      </c>
      <c r="C16" s="35" t="s">
        <v>167</v>
      </c>
      <c r="D16" s="40">
        <v>4</v>
      </c>
      <c r="E16" s="40">
        <v>2</v>
      </c>
      <c r="F16" s="41" t="s">
        <v>168</v>
      </c>
      <c r="G16" s="42"/>
      <c r="H16" s="42"/>
      <c r="I16" s="42"/>
      <c r="J16" s="43"/>
    </row>
  </sheetData>
  <mergeCells count="5">
    <mergeCell ref="B3:B4"/>
    <mergeCell ref="C3:C4"/>
    <mergeCell ref="D3:I3"/>
    <mergeCell ref="J3:J4"/>
    <mergeCell ref="B1:J1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6"/>
  <sheetViews>
    <sheetView workbookViewId="0">
      <selection sqref="A1:E1"/>
    </sheetView>
  </sheetViews>
  <sheetFormatPr defaultRowHeight="16.5"/>
  <cols>
    <col min="1" max="1" width="9.375" style="3" bestFit="1" customWidth="1"/>
    <col min="2" max="2" width="11.25" style="3" bestFit="1" customWidth="1"/>
    <col min="3" max="3" width="16.125" style="3" bestFit="1" customWidth="1"/>
    <col min="4" max="4" width="11.25" style="3" bestFit="1" customWidth="1"/>
    <col min="5" max="5" width="12.875" style="3" bestFit="1" customWidth="1"/>
    <col min="6" max="7" width="10.75" style="3" customWidth="1"/>
    <col min="8" max="8" width="10.75" style="3" bestFit="1" customWidth="1"/>
    <col min="9" max="9" width="12.75" style="3" bestFit="1" customWidth="1"/>
    <col min="10" max="16384" width="9" style="3"/>
  </cols>
  <sheetData>
    <row r="1" spans="1:5" ht="20.25">
      <c r="A1" s="46" t="s">
        <v>196</v>
      </c>
      <c r="B1" s="46"/>
      <c r="C1" s="46"/>
      <c r="D1" s="46"/>
      <c r="E1" s="46"/>
    </row>
    <row r="3" spans="1: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</row>
    <row r="4" spans="1:5">
      <c r="A4" s="5" t="s">
        <v>5</v>
      </c>
      <c r="B4" s="5" t="s">
        <v>6</v>
      </c>
      <c r="C4" s="5">
        <v>15000000</v>
      </c>
      <c r="D4" s="18">
        <v>36</v>
      </c>
      <c r="E4" s="19">
        <v>45281</v>
      </c>
    </row>
    <row r="5" spans="1:5">
      <c r="A5" s="5" t="s">
        <v>7</v>
      </c>
      <c r="B5" s="5" t="s">
        <v>8</v>
      </c>
      <c r="C5" s="5">
        <v>5000000</v>
      </c>
      <c r="D5" s="18">
        <v>12</v>
      </c>
      <c r="E5" s="19">
        <v>45050</v>
      </c>
    </row>
    <row r="6" spans="1:5">
      <c r="A6" s="5" t="s">
        <v>9</v>
      </c>
      <c r="B6" s="5" t="s">
        <v>10</v>
      </c>
      <c r="C6" s="5">
        <v>32000000</v>
      </c>
      <c r="D6" s="18">
        <v>60</v>
      </c>
      <c r="E6" s="19">
        <v>45055</v>
      </c>
    </row>
    <row r="7" spans="1:5">
      <c r="A7" s="5" t="s">
        <v>11</v>
      </c>
      <c r="B7" s="5" t="s">
        <v>12</v>
      </c>
      <c r="C7" s="5">
        <v>6000000</v>
      </c>
      <c r="D7" s="18">
        <v>24</v>
      </c>
      <c r="E7" s="19">
        <v>45065</v>
      </c>
    </row>
    <row r="8" spans="1:5">
      <c r="A8" s="5" t="s">
        <v>13</v>
      </c>
      <c r="B8" s="5" t="s">
        <v>144</v>
      </c>
      <c r="C8" s="5">
        <v>7000000</v>
      </c>
      <c r="D8" s="18">
        <v>24</v>
      </c>
      <c r="E8" s="19">
        <v>45289</v>
      </c>
    </row>
    <row r="9" spans="1:5">
      <c r="A9" s="5" t="s">
        <v>14</v>
      </c>
      <c r="B9" s="5" t="s">
        <v>6</v>
      </c>
      <c r="C9" s="5">
        <v>24000000</v>
      </c>
      <c r="D9" s="18">
        <v>36</v>
      </c>
      <c r="E9" s="19">
        <v>45135</v>
      </c>
    </row>
    <row r="10" spans="1:5">
      <c r="A10" s="5" t="s">
        <v>15</v>
      </c>
      <c r="B10" s="5" t="s">
        <v>10</v>
      </c>
      <c r="C10" s="5">
        <v>9000000</v>
      </c>
      <c r="D10" s="18">
        <v>24</v>
      </c>
      <c r="E10" s="19">
        <v>44980</v>
      </c>
    </row>
    <row r="11" spans="1:5">
      <c r="A11" s="5" t="s">
        <v>16</v>
      </c>
      <c r="B11" s="5" t="s">
        <v>12</v>
      </c>
      <c r="C11" s="5">
        <v>14500000</v>
      </c>
      <c r="D11" s="18">
        <v>36</v>
      </c>
      <c r="E11" s="19">
        <v>45036</v>
      </c>
    </row>
    <row r="12" spans="1:5">
      <c r="A12" s="5" t="s">
        <v>17</v>
      </c>
      <c r="B12" s="5" t="s">
        <v>145</v>
      </c>
      <c r="C12" s="5">
        <v>5500000</v>
      </c>
      <c r="D12" s="18">
        <v>24</v>
      </c>
      <c r="E12" s="19">
        <v>45204</v>
      </c>
    </row>
    <row r="13" spans="1:5">
      <c r="A13" s="5" t="s">
        <v>18</v>
      </c>
      <c r="B13" s="5" t="s">
        <v>146</v>
      </c>
      <c r="C13" s="5">
        <v>7800000</v>
      </c>
      <c r="D13" s="18">
        <v>12</v>
      </c>
      <c r="E13" s="19">
        <v>45096</v>
      </c>
    </row>
    <row r="14" spans="1:5">
      <c r="A14" s="5" t="s">
        <v>19</v>
      </c>
      <c r="B14" s="5" t="s">
        <v>10</v>
      </c>
      <c r="C14" s="5">
        <v>12500000</v>
      </c>
      <c r="D14" s="18">
        <v>36</v>
      </c>
      <c r="E14" s="19">
        <v>45085</v>
      </c>
    </row>
    <row r="15" spans="1:5">
      <c r="A15" s="5" t="s">
        <v>20</v>
      </c>
      <c r="B15" s="5" t="s">
        <v>10</v>
      </c>
      <c r="C15" s="5">
        <v>25000000</v>
      </c>
      <c r="D15" s="18">
        <v>60</v>
      </c>
      <c r="E15" s="19">
        <v>45145</v>
      </c>
    </row>
    <row r="16" spans="1:5">
      <c r="A16" s="5" t="s">
        <v>21</v>
      </c>
      <c r="B16" s="5" t="s">
        <v>6</v>
      </c>
      <c r="C16" s="5">
        <v>45000000</v>
      </c>
      <c r="D16" s="18">
        <v>60</v>
      </c>
      <c r="E16" s="19">
        <v>45117</v>
      </c>
    </row>
  </sheetData>
  <mergeCells count="1">
    <mergeCell ref="A1:E1"/>
  </mergeCells>
  <phoneticPr fontId="2" type="noConversion"/>
  <conditionalFormatting sqref="A4:E16">
    <cfRule type="expression" dxfId="1" priority="2">
      <formula>LEFT($B4,3)="학자금"</formula>
    </cfRule>
    <cfRule type="expression" dxfId="0" priority="1">
      <formula>RIGHT($B4,2)="대출"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48"/>
  <sheetViews>
    <sheetView zoomScaleNormal="100" workbookViewId="0"/>
  </sheetViews>
  <sheetFormatPr defaultRowHeight="16.5"/>
  <cols>
    <col min="1" max="1" width="12.125" style="3" customWidth="1"/>
    <col min="2" max="2" width="12.25" style="3" customWidth="1"/>
    <col min="3" max="3" width="13.875" style="3" bestFit="1" customWidth="1"/>
    <col min="4" max="4" width="14.25" style="3" bestFit="1" customWidth="1"/>
    <col min="5" max="5" width="5.25" style="2" customWidth="1"/>
    <col min="6" max="6" width="11.125" style="3" customWidth="1"/>
    <col min="7" max="7" width="15.125" style="3" customWidth="1"/>
    <col min="8" max="8" width="12.875" style="3" bestFit="1" customWidth="1"/>
    <col min="9" max="9" width="26.875" style="3" bestFit="1" customWidth="1"/>
    <col min="10" max="16384" width="9" style="3"/>
  </cols>
  <sheetData>
    <row r="1" spans="1:9">
      <c r="A1" s="8" t="s">
        <v>197</v>
      </c>
      <c r="B1" s="8"/>
      <c r="C1" s="2"/>
      <c r="D1" s="9" t="s">
        <v>169</v>
      </c>
      <c r="F1" s="8" t="s">
        <v>170</v>
      </c>
      <c r="I1" s="2"/>
    </row>
    <row r="2" spans="1:9">
      <c r="A2" s="1" t="s">
        <v>22</v>
      </c>
      <c r="B2" s="1" t="s">
        <v>23</v>
      </c>
      <c r="C2" s="1" t="s">
        <v>24</v>
      </c>
      <c r="D2" s="10" t="s">
        <v>66</v>
      </c>
      <c r="F2" s="1" t="s">
        <v>67</v>
      </c>
      <c r="G2" s="1" t="s">
        <v>68</v>
      </c>
      <c r="H2" s="1" t="s">
        <v>69</v>
      </c>
      <c r="I2" s="10" t="s">
        <v>70</v>
      </c>
    </row>
    <row r="3" spans="1:9">
      <c r="A3" s="11" t="s">
        <v>171</v>
      </c>
      <c r="B3" s="1" t="s">
        <v>71</v>
      </c>
      <c r="C3" s="12">
        <v>25000</v>
      </c>
      <c r="D3" s="6">
        <f>HLOOKUP(RIGHT(A3,3),$B$10:$D$11,2,FALSE)*C3</f>
        <v>7500000</v>
      </c>
      <c r="F3" s="1" t="s">
        <v>72</v>
      </c>
      <c r="G3" s="13" t="s">
        <v>73</v>
      </c>
      <c r="H3" s="14">
        <v>45334</v>
      </c>
      <c r="I3" s="1" t="str">
        <f>CHOOSE(WEEKDAY(H3,1),"일요일","월요일","화요일","수요일","목요일","금요일","토요일")</f>
        <v>월요일</v>
      </c>
    </row>
    <row r="4" spans="1:9">
      <c r="A4" s="1" t="s">
        <v>74</v>
      </c>
      <c r="B4" s="1" t="s">
        <v>75</v>
      </c>
      <c r="C4" s="12">
        <v>14500</v>
      </c>
      <c r="D4" s="6">
        <f t="shared" ref="D4:D7" si="0">HLOOKUP(RIGHT(A4,3),$B$10:$D$11,2,FALSE)*C4</f>
        <v>4350000</v>
      </c>
      <c r="F4" s="1" t="s">
        <v>76</v>
      </c>
      <c r="G4" s="13" t="s">
        <v>77</v>
      </c>
      <c r="H4" s="14">
        <v>45334</v>
      </c>
      <c r="I4" s="1" t="str">
        <f t="shared" ref="I4:I11" si="1">CHOOSE(WEEKDAY(H4,1),"일요일","월요일","화요일","수요일","목요일","금요일","토요일")</f>
        <v>월요일</v>
      </c>
    </row>
    <row r="5" spans="1:9">
      <c r="A5" s="1" t="s">
        <v>78</v>
      </c>
      <c r="B5" s="1" t="s">
        <v>71</v>
      </c>
      <c r="C5" s="12">
        <v>56000</v>
      </c>
      <c r="D5" s="6">
        <f t="shared" si="0"/>
        <v>19600000</v>
      </c>
      <c r="F5" s="1" t="s">
        <v>79</v>
      </c>
      <c r="G5" s="13" t="s">
        <v>73</v>
      </c>
      <c r="H5" s="14">
        <v>45334</v>
      </c>
      <c r="I5" s="1" t="str">
        <f t="shared" si="1"/>
        <v>월요일</v>
      </c>
    </row>
    <row r="6" spans="1:9">
      <c r="A6" s="1" t="s">
        <v>80</v>
      </c>
      <c r="B6" s="1" t="s">
        <v>71</v>
      </c>
      <c r="C6" s="12">
        <v>43000</v>
      </c>
      <c r="D6" s="6">
        <f t="shared" si="0"/>
        <v>17200000</v>
      </c>
      <c r="F6" s="1" t="s">
        <v>81</v>
      </c>
      <c r="G6" s="13" t="s">
        <v>77</v>
      </c>
      <c r="H6" s="14">
        <v>45334</v>
      </c>
      <c r="I6" s="1" t="str">
        <f t="shared" si="1"/>
        <v>월요일</v>
      </c>
    </row>
    <row r="7" spans="1:9">
      <c r="A7" s="1" t="s">
        <v>82</v>
      </c>
      <c r="B7" s="1" t="s">
        <v>75</v>
      </c>
      <c r="C7" s="12">
        <v>24500</v>
      </c>
      <c r="D7" s="6">
        <f t="shared" si="0"/>
        <v>8575000</v>
      </c>
      <c r="F7" s="1" t="s">
        <v>83</v>
      </c>
      <c r="G7" s="13" t="s">
        <v>84</v>
      </c>
      <c r="H7" s="14">
        <v>45336</v>
      </c>
      <c r="I7" s="1" t="str">
        <f t="shared" si="1"/>
        <v>수요일</v>
      </c>
    </row>
    <row r="8" spans="1:9">
      <c r="F8" s="1" t="s">
        <v>85</v>
      </c>
      <c r="G8" s="13" t="s">
        <v>86</v>
      </c>
      <c r="H8" s="14">
        <v>45341</v>
      </c>
      <c r="I8" s="1" t="str">
        <f t="shared" si="1"/>
        <v>월요일</v>
      </c>
    </row>
    <row r="9" spans="1:9">
      <c r="A9" s="47" t="s">
        <v>172</v>
      </c>
      <c r="B9" s="47"/>
      <c r="C9" s="47"/>
      <c r="D9" s="47"/>
      <c r="F9" s="1" t="s">
        <v>87</v>
      </c>
      <c r="G9" s="13" t="s">
        <v>73</v>
      </c>
      <c r="H9" s="14">
        <v>45342</v>
      </c>
      <c r="I9" s="1" t="str">
        <f t="shared" si="1"/>
        <v>화요일</v>
      </c>
    </row>
    <row r="10" spans="1:9">
      <c r="A10" s="1" t="s">
        <v>88</v>
      </c>
      <c r="B10" s="1" t="s">
        <v>89</v>
      </c>
      <c r="C10" s="1" t="s">
        <v>173</v>
      </c>
      <c r="D10" s="1" t="s">
        <v>174</v>
      </c>
      <c r="F10" s="1" t="s">
        <v>90</v>
      </c>
      <c r="G10" s="13" t="s">
        <v>91</v>
      </c>
      <c r="H10" s="14">
        <v>45343</v>
      </c>
      <c r="I10" s="1" t="str">
        <f t="shared" si="1"/>
        <v>수요일</v>
      </c>
    </row>
    <row r="11" spans="1:9">
      <c r="A11" s="1" t="s">
        <v>92</v>
      </c>
      <c r="B11" s="6">
        <v>300</v>
      </c>
      <c r="C11" s="6">
        <v>350</v>
      </c>
      <c r="D11" s="6">
        <v>400</v>
      </c>
      <c r="F11" s="1" t="s">
        <v>93</v>
      </c>
      <c r="G11" s="13" t="s">
        <v>91</v>
      </c>
      <c r="H11" s="14">
        <v>45376</v>
      </c>
      <c r="I11" s="1" t="str">
        <f t="shared" si="1"/>
        <v>월요일</v>
      </c>
    </row>
    <row r="12" spans="1:9">
      <c r="A12" s="2"/>
      <c r="B12" s="15"/>
      <c r="C12" s="15"/>
      <c r="D12" s="15"/>
    </row>
    <row r="13" spans="1:9">
      <c r="A13" s="2"/>
      <c r="B13" s="15"/>
      <c r="C13" s="15"/>
      <c r="D13" s="15"/>
    </row>
    <row r="14" spans="1:9">
      <c r="A14" s="8" t="s">
        <v>198</v>
      </c>
      <c r="F14" s="3" t="s">
        <v>175</v>
      </c>
    </row>
    <row r="15" spans="1:9">
      <c r="A15" s="1" t="s">
        <v>94</v>
      </c>
      <c r="B15" s="1" t="s">
        <v>95</v>
      </c>
      <c r="C15" s="4" t="s">
        <v>96</v>
      </c>
      <c r="F15" s="1" t="s">
        <v>97</v>
      </c>
      <c r="G15" s="1" t="s">
        <v>98</v>
      </c>
      <c r="H15" s="1" t="s">
        <v>99</v>
      </c>
      <c r="I15" s="10" t="s">
        <v>100</v>
      </c>
    </row>
    <row r="16" spans="1:9">
      <c r="A16" s="1" t="s">
        <v>101</v>
      </c>
      <c r="B16" s="1" t="s">
        <v>102</v>
      </c>
      <c r="C16" s="4">
        <v>98</v>
      </c>
      <c r="F16" s="4" t="s">
        <v>103</v>
      </c>
      <c r="G16" s="4" t="s">
        <v>104</v>
      </c>
      <c r="H16" s="4">
        <v>792</v>
      </c>
      <c r="I16" s="4" t="str">
        <f>UPPER(F16&amp;"("&amp;G16&amp;")")</f>
        <v>PORTUGAL(LISBON)</v>
      </c>
    </row>
    <row r="17" spans="1:9">
      <c r="A17" s="1" t="s">
        <v>105</v>
      </c>
      <c r="B17" s="1" t="s">
        <v>106</v>
      </c>
      <c r="C17" s="4">
        <v>76</v>
      </c>
      <c r="F17" s="4" t="s">
        <v>107</v>
      </c>
      <c r="G17" s="4" t="s">
        <v>108</v>
      </c>
      <c r="H17" s="4">
        <v>438</v>
      </c>
      <c r="I17" s="4" t="str">
        <f t="shared" ref="I17:I23" si="2">UPPER(F17&amp;"("&amp;G17&amp;")")</f>
        <v>SPAIN(MADRID)</v>
      </c>
    </row>
    <row r="18" spans="1:9">
      <c r="A18" s="1" t="s">
        <v>25</v>
      </c>
      <c r="B18" s="1" t="s">
        <v>109</v>
      </c>
      <c r="C18" s="4">
        <v>86</v>
      </c>
      <c r="F18" s="4" t="s">
        <v>110</v>
      </c>
      <c r="G18" s="4" t="s">
        <v>111</v>
      </c>
      <c r="H18" s="4">
        <v>614</v>
      </c>
      <c r="I18" s="4" t="str">
        <f t="shared" si="2"/>
        <v>FRANCE(PARIS)</v>
      </c>
    </row>
    <row r="19" spans="1:9">
      <c r="A19" s="1" t="s">
        <v>26</v>
      </c>
      <c r="B19" s="1" t="s">
        <v>106</v>
      </c>
      <c r="C19" s="4">
        <v>80</v>
      </c>
      <c r="F19" s="4" t="s">
        <v>112</v>
      </c>
      <c r="G19" s="4" t="s">
        <v>113</v>
      </c>
      <c r="H19" s="4">
        <v>695</v>
      </c>
      <c r="I19" s="4" t="str">
        <f t="shared" si="2"/>
        <v>ENGLAND(LONDON)</v>
      </c>
    </row>
    <row r="20" spans="1:9">
      <c r="A20" s="1" t="s">
        <v>27</v>
      </c>
      <c r="B20" s="1" t="s">
        <v>106</v>
      </c>
      <c r="C20" s="4">
        <v>65</v>
      </c>
      <c r="F20" s="4" t="s">
        <v>114</v>
      </c>
      <c r="G20" s="4" t="s">
        <v>115</v>
      </c>
      <c r="H20" s="4">
        <v>500</v>
      </c>
      <c r="I20" s="4" t="str">
        <f t="shared" si="2"/>
        <v>SWEDEN(STOCKHOLM)</v>
      </c>
    </row>
    <row r="21" spans="1:9">
      <c r="A21" s="1" t="s">
        <v>28</v>
      </c>
      <c r="B21" s="1" t="s">
        <v>109</v>
      </c>
      <c r="C21" s="4">
        <v>100</v>
      </c>
      <c r="F21" s="4" t="s">
        <v>116</v>
      </c>
      <c r="G21" s="4" t="s">
        <v>117</v>
      </c>
      <c r="H21" s="4">
        <v>589</v>
      </c>
      <c r="I21" s="4" t="str">
        <f t="shared" si="2"/>
        <v>GERMANY(BERLIN)</v>
      </c>
    </row>
    <row r="22" spans="1:9">
      <c r="A22" s="1" t="s">
        <v>29</v>
      </c>
      <c r="B22" s="1" t="s">
        <v>109</v>
      </c>
      <c r="C22" s="4">
        <v>98</v>
      </c>
      <c r="F22" s="4" t="s">
        <v>118</v>
      </c>
      <c r="G22" s="4" t="s">
        <v>119</v>
      </c>
      <c r="H22" s="4">
        <v>765</v>
      </c>
      <c r="I22" s="4" t="str">
        <f t="shared" si="2"/>
        <v>NETHERLAND(AMSTERDAM)</v>
      </c>
    </row>
    <row r="23" spans="1:9">
      <c r="A23" s="1" t="s">
        <v>30</v>
      </c>
      <c r="B23" s="1" t="s">
        <v>102</v>
      </c>
      <c r="C23" s="4">
        <v>85</v>
      </c>
      <c r="F23" s="4" t="s">
        <v>120</v>
      </c>
      <c r="G23" s="4" t="s">
        <v>121</v>
      </c>
      <c r="H23" s="4">
        <v>1000</v>
      </c>
      <c r="I23" s="4" t="str">
        <f t="shared" si="2"/>
        <v>SWITZERLAND(BERN)</v>
      </c>
    </row>
    <row r="24" spans="1:9">
      <c r="A24" s="1" t="s">
        <v>31</v>
      </c>
      <c r="B24" s="1" t="s">
        <v>109</v>
      </c>
      <c r="C24" s="4">
        <v>100</v>
      </c>
    </row>
    <row r="25" spans="1:9">
      <c r="A25" s="1" t="s">
        <v>32</v>
      </c>
      <c r="B25" s="1" t="s">
        <v>106</v>
      </c>
      <c r="C25" s="4">
        <v>90</v>
      </c>
    </row>
    <row r="26" spans="1:9">
      <c r="A26" s="1" t="s">
        <v>33</v>
      </c>
      <c r="B26" s="1" t="s">
        <v>109</v>
      </c>
      <c r="C26" s="4">
        <v>85</v>
      </c>
    </row>
    <row r="27" spans="1:9">
      <c r="A27" s="1" t="s">
        <v>34</v>
      </c>
      <c r="B27" s="1" t="s">
        <v>102</v>
      </c>
      <c r="C27" s="4">
        <v>75</v>
      </c>
    </row>
    <row r="29" spans="1:9">
      <c r="A29" s="1" t="s">
        <v>95</v>
      </c>
      <c r="B29" s="10" t="s">
        <v>122</v>
      </c>
    </row>
    <row r="30" spans="1:9">
      <c r="A30" s="1" t="s">
        <v>109</v>
      </c>
      <c r="B30" s="1" t="str">
        <f>DCOUNT(A15:C27,3,A29:A30)&amp;"명"</f>
        <v>5명</v>
      </c>
    </row>
    <row r="33" spans="1:4">
      <c r="A33" s="8" t="s">
        <v>123</v>
      </c>
    </row>
    <row r="34" spans="1:4">
      <c r="A34" s="1" t="s">
        <v>67</v>
      </c>
      <c r="B34" s="1" t="s">
        <v>124</v>
      </c>
      <c r="C34" s="1" t="s">
        <v>125</v>
      </c>
      <c r="D34" s="10" t="s">
        <v>126</v>
      </c>
    </row>
    <row r="35" spans="1:4">
      <c r="A35" s="1" t="s">
        <v>127</v>
      </c>
      <c r="B35" s="1" t="s">
        <v>128</v>
      </c>
      <c r="C35" s="14">
        <v>35259</v>
      </c>
      <c r="D35" s="1" t="str">
        <f>IF(YEAR($B$48)-YEAR(C35)&gt;=26,"채용","")</f>
        <v>채용</v>
      </c>
    </row>
    <row r="36" spans="1:4">
      <c r="A36" s="1" t="s">
        <v>129</v>
      </c>
      <c r="B36" s="1" t="s">
        <v>130</v>
      </c>
      <c r="C36" s="14">
        <v>36231</v>
      </c>
      <c r="D36" s="1" t="str">
        <f t="shared" ref="D36:D46" si="3">IF(YEAR($B$48)-YEAR(C36)&gt;=26,"채용","")</f>
        <v/>
      </c>
    </row>
    <row r="37" spans="1:4">
      <c r="A37" s="1" t="s">
        <v>131</v>
      </c>
      <c r="B37" s="1" t="s">
        <v>132</v>
      </c>
      <c r="C37" s="14">
        <v>37619</v>
      </c>
      <c r="D37" s="1" t="str">
        <f t="shared" si="3"/>
        <v/>
      </c>
    </row>
    <row r="38" spans="1:4">
      <c r="A38" s="1" t="s">
        <v>133</v>
      </c>
      <c r="B38" s="1" t="s">
        <v>128</v>
      </c>
      <c r="C38" s="14">
        <v>35682</v>
      </c>
      <c r="D38" s="1" t="str">
        <f t="shared" si="3"/>
        <v>채용</v>
      </c>
    </row>
    <row r="39" spans="1:4">
      <c r="A39" s="1" t="s">
        <v>134</v>
      </c>
      <c r="B39" s="1" t="s">
        <v>128</v>
      </c>
      <c r="C39" s="14">
        <v>35342</v>
      </c>
      <c r="D39" s="1" t="str">
        <f t="shared" si="3"/>
        <v>채용</v>
      </c>
    </row>
    <row r="40" spans="1:4">
      <c r="A40" s="1" t="s">
        <v>135</v>
      </c>
      <c r="B40" s="1" t="s">
        <v>130</v>
      </c>
      <c r="C40" s="14">
        <v>36869</v>
      </c>
      <c r="D40" s="1" t="str">
        <f t="shared" si="3"/>
        <v/>
      </c>
    </row>
    <row r="41" spans="1:4">
      <c r="A41" s="1" t="s">
        <v>136</v>
      </c>
      <c r="B41" s="1" t="s">
        <v>130</v>
      </c>
      <c r="C41" s="14">
        <v>35129</v>
      </c>
      <c r="D41" s="1" t="str">
        <f t="shared" si="3"/>
        <v>채용</v>
      </c>
    </row>
    <row r="42" spans="1:4">
      <c r="A42" s="1" t="s">
        <v>137</v>
      </c>
      <c r="B42" s="1" t="s">
        <v>132</v>
      </c>
      <c r="C42" s="14">
        <v>36894</v>
      </c>
      <c r="D42" s="1" t="str">
        <f t="shared" si="3"/>
        <v/>
      </c>
    </row>
    <row r="43" spans="1:4">
      <c r="A43" s="1" t="s">
        <v>138</v>
      </c>
      <c r="B43" s="1" t="s">
        <v>132</v>
      </c>
      <c r="C43" s="14">
        <v>36592</v>
      </c>
      <c r="D43" s="1" t="str">
        <f t="shared" si="3"/>
        <v/>
      </c>
    </row>
    <row r="44" spans="1:4">
      <c r="A44" s="1" t="s">
        <v>139</v>
      </c>
      <c r="B44" s="1" t="s">
        <v>140</v>
      </c>
      <c r="C44" s="14">
        <v>35193</v>
      </c>
      <c r="D44" s="1" t="str">
        <f t="shared" si="3"/>
        <v>채용</v>
      </c>
    </row>
    <row r="45" spans="1:4">
      <c r="A45" s="1" t="s">
        <v>141</v>
      </c>
      <c r="B45" s="1" t="s">
        <v>140</v>
      </c>
      <c r="C45" s="14">
        <v>34875</v>
      </c>
      <c r="D45" s="1" t="str">
        <f t="shared" si="3"/>
        <v>채용</v>
      </c>
    </row>
    <row r="46" spans="1:4">
      <c r="A46" s="1" t="s">
        <v>142</v>
      </c>
      <c r="B46" s="1" t="s">
        <v>140</v>
      </c>
      <c r="C46" s="14">
        <v>34879</v>
      </c>
      <c r="D46" s="1" t="str">
        <f t="shared" si="3"/>
        <v>채용</v>
      </c>
    </row>
    <row r="48" spans="1:4">
      <c r="A48" s="1" t="s">
        <v>143</v>
      </c>
      <c r="B48" s="16">
        <v>45231</v>
      </c>
    </row>
  </sheetData>
  <mergeCells count="1">
    <mergeCell ref="A9:D9"/>
  </mergeCells>
  <phoneticPr fontId="2" type="noConversion"/>
  <printOptions headings="1" gridLines="1"/>
  <pageMargins left="0.75" right="0.75" top="1" bottom="1" header="0.5" footer="0.5"/>
  <pageSetup paperSize="9" scale="8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1" bestFit="1" customWidth="1"/>
    <col min="4" max="6" width="11.625" bestFit="1" customWidth="1" outlineLevel="1"/>
  </cols>
  <sheetData>
    <row r="1" spans="2:6" ht="17.25" thickBot="1"/>
    <row r="2" spans="2:6">
      <c r="B2" s="23" t="s">
        <v>248</v>
      </c>
      <c r="C2" s="24"/>
      <c r="D2" s="30"/>
      <c r="E2" s="30"/>
      <c r="F2" s="30"/>
    </row>
    <row r="3" spans="2:6" collapsed="1">
      <c r="B3" s="22"/>
      <c r="C3" s="22"/>
      <c r="D3" s="31" t="s">
        <v>250</v>
      </c>
      <c r="E3" s="31" t="s">
        <v>246</v>
      </c>
      <c r="F3" s="31" t="s">
        <v>247</v>
      </c>
    </row>
    <row r="4" spans="2:6" hidden="1" outlineLevel="1">
      <c r="B4" s="26"/>
      <c r="C4" s="26"/>
      <c r="E4" s="33"/>
      <c r="F4" s="33"/>
    </row>
    <row r="5" spans="2:6">
      <c r="B5" s="27" t="s">
        <v>249</v>
      </c>
      <c r="C5" s="28"/>
      <c r="D5" s="25"/>
      <c r="E5" s="25"/>
      <c r="F5" s="25"/>
    </row>
    <row r="6" spans="2:6" outlineLevel="1">
      <c r="B6" s="26"/>
      <c r="C6" s="26" t="s">
        <v>244</v>
      </c>
      <c r="D6" s="20">
        <v>0.25</v>
      </c>
      <c r="E6" s="32">
        <v>0.3</v>
      </c>
      <c r="F6" s="32">
        <v>0.2</v>
      </c>
    </row>
    <row r="7" spans="2:6">
      <c r="B7" s="27" t="s">
        <v>251</v>
      </c>
      <c r="C7" s="28"/>
      <c r="D7" s="25"/>
      <c r="E7" s="25"/>
      <c r="F7" s="25"/>
    </row>
    <row r="8" spans="2:6" ht="17.25" outlineLevel="1" thickBot="1">
      <c r="B8" s="29"/>
      <c r="C8" s="29" t="s">
        <v>245</v>
      </c>
      <c r="D8" s="21">
        <v>10880</v>
      </c>
      <c r="E8" s="21">
        <v>13056</v>
      </c>
      <c r="F8" s="21">
        <v>8704</v>
      </c>
    </row>
    <row r="9" spans="2:6">
      <c r="B9" t="s">
        <v>252</v>
      </c>
    </row>
    <row r="10" spans="2:6">
      <c r="B10" t="s">
        <v>253</v>
      </c>
    </row>
    <row r="11" spans="2:6">
      <c r="B11" t="s">
        <v>254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7"/>
  <sheetViews>
    <sheetView workbookViewId="0"/>
  </sheetViews>
  <sheetFormatPr defaultRowHeight="16.5"/>
  <cols>
    <col min="1" max="1" width="2.875" style="3" customWidth="1"/>
    <col min="2" max="2" width="4.375" style="3" customWidth="1"/>
    <col min="3" max="7" width="9" style="3"/>
    <col min="8" max="8" width="11.125" style="3" bestFit="1" customWidth="1"/>
    <col min="9" max="16384" width="9" style="3"/>
  </cols>
  <sheetData>
    <row r="1" spans="2:8" ht="20.25">
      <c r="B1" s="51" t="s">
        <v>193</v>
      </c>
      <c r="C1" s="51"/>
      <c r="D1" s="51"/>
      <c r="E1" s="51"/>
      <c r="F1" s="51"/>
      <c r="G1" s="51"/>
      <c r="H1" s="51"/>
    </row>
    <row r="2" spans="2:8">
      <c r="H2" s="3" t="s">
        <v>194</v>
      </c>
    </row>
    <row r="3" spans="2:8">
      <c r="B3" s="47" t="s">
        <v>35</v>
      </c>
      <c r="C3" s="47"/>
      <c r="D3" s="47" t="s">
        <v>36</v>
      </c>
      <c r="E3" s="47"/>
      <c r="F3" s="47"/>
      <c r="G3" s="47" t="s">
        <v>37</v>
      </c>
      <c r="H3" s="47" t="s">
        <v>38</v>
      </c>
    </row>
    <row r="4" spans="2:8">
      <c r="B4" s="47"/>
      <c r="C4" s="47"/>
      <c r="D4" s="1" t="s">
        <v>47</v>
      </c>
      <c r="E4" s="1" t="s">
        <v>48</v>
      </c>
      <c r="F4" s="1" t="s">
        <v>39</v>
      </c>
      <c r="G4" s="47"/>
      <c r="H4" s="47"/>
    </row>
    <row r="5" spans="2:8">
      <c r="B5" s="48" t="s">
        <v>49</v>
      </c>
      <c r="C5" s="4" t="s">
        <v>40</v>
      </c>
      <c r="D5" s="6">
        <v>3000</v>
      </c>
      <c r="E5" s="6">
        <v>3200</v>
      </c>
      <c r="F5" s="6">
        <f t="shared" ref="F5:F14" si="0">SUM(D5:E5)</f>
        <v>6200</v>
      </c>
      <c r="G5" s="6">
        <v>6400</v>
      </c>
      <c r="H5" s="6">
        <f t="shared" ref="H5:H14" si="1">F5*$H$17</f>
        <v>1550</v>
      </c>
    </row>
    <row r="6" spans="2:8">
      <c r="B6" s="48"/>
      <c r="C6" s="4" t="s">
        <v>41</v>
      </c>
      <c r="D6" s="6">
        <v>2000</v>
      </c>
      <c r="E6" s="6">
        <v>3400</v>
      </c>
      <c r="F6" s="6">
        <f t="shared" si="0"/>
        <v>5400</v>
      </c>
      <c r="G6" s="6">
        <v>5500</v>
      </c>
      <c r="H6" s="6">
        <f t="shared" si="1"/>
        <v>1350</v>
      </c>
    </row>
    <row r="7" spans="2:8">
      <c r="B7" s="48"/>
      <c r="C7" s="4" t="s">
        <v>42</v>
      </c>
      <c r="D7" s="6">
        <v>2000</v>
      </c>
      <c r="E7" s="6">
        <v>3400</v>
      </c>
      <c r="F7" s="6">
        <f t="shared" si="0"/>
        <v>5400</v>
      </c>
      <c r="G7" s="6">
        <v>3000</v>
      </c>
      <c r="H7" s="6">
        <f t="shared" si="1"/>
        <v>1350</v>
      </c>
    </row>
    <row r="8" spans="2:8">
      <c r="B8" s="48"/>
      <c r="C8" s="4" t="s">
        <v>50</v>
      </c>
      <c r="D8" s="6">
        <v>3800</v>
      </c>
      <c r="E8" s="6">
        <v>2000</v>
      </c>
      <c r="F8" s="6">
        <f t="shared" si="0"/>
        <v>5800</v>
      </c>
      <c r="G8" s="6">
        <v>6500</v>
      </c>
      <c r="H8" s="6">
        <f t="shared" si="1"/>
        <v>1450</v>
      </c>
    </row>
    <row r="9" spans="2:8">
      <c r="B9" s="48"/>
      <c r="C9" s="4" t="s">
        <v>43</v>
      </c>
      <c r="D9" s="6">
        <v>1200</v>
      </c>
      <c r="E9" s="6">
        <v>3800</v>
      </c>
      <c r="F9" s="6">
        <f t="shared" si="0"/>
        <v>5000</v>
      </c>
      <c r="G9" s="6">
        <v>4500</v>
      </c>
      <c r="H9" s="6">
        <f t="shared" si="1"/>
        <v>1250</v>
      </c>
    </row>
    <row r="10" spans="2:8">
      <c r="B10" s="48"/>
      <c r="C10" s="4" t="s">
        <v>44</v>
      </c>
      <c r="D10" s="6">
        <v>900</v>
      </c>
      <c r="E10" s="6">
        <v>1500</v>
      </c>
      <c r="F10" s="6">
        <f t="shared" si="0"/>
        <v>2400</v>
      </c>
      <c r="G10" s="6">
        <v>3500</v>
      </c>
      <c r="H10" s="6">
        <f t="shared" si="1"/>
        <v>600</v>
      </c>
    </row>
    <row r="11" spans="2:8">
      <c r="B11" s="48" t="s">
        <v>51</v>
      </c>
      <c r="C11" s="4" t="s">
        <v>52</v>
      </c>
      <c r="D11" s="6">
        <v>3200</v>
      </c>
      <c r="E11" s="6">
        <v>3000</v>
      </c>
      <c r="F11" s="6">
        <f t="shared" si="0"/>
        <v>6200</v>
      </c>
      <c r="G11" s="6">
        <v>5800</v>
      </c>
      <c r="H11" s="6">
        <f t="shared" si="1"/>
        <v>1550</v>
      </c>
    </row>
    <row r="12" spans="2:8">
      <c r="B12" s="48"/>
      <c r="C12" s="4" t="s">
        <v>45</v>
      </c>
      <c r="D12" s="6">
        <v>1000</v>
      </c>
      <c r="E12" s="6">
        <v>1500</v>
      </c>
      <c r="F12" s="6">
        <f t="shared" si="0"/>
        <v>2500</v>
      </c>
      <c r="G12" s="6">
        <v>2200</v>
      </c>
      <c r="H12" s="6">
        <f t="shared" si="1"/>
        <v>625</v>
      </c>
    </row>
    <row r="13" spans="2:8">
      <c r="B13" s="48"/>
      <c r="C13" s="4" t="s">
        <v>53</v>
      </c>
      <c r="D13" s="6">
        <v>560</v>
      </c>
      <c r="E13" s="6">
        <v>460</v>
      </c>
      <c r="F13" s="6">
        <f t="shared" si="0"/>
        <v>1020</v>
      </c>
      <c r="G13" s="6">
        <v>1200</v>
      </c>
      <c r="H13" s="6">
        <f t="shared" si="1"/>
        <v>255</v>
      </c>
    </row>
    <row r="14" spans="2:8">
      <c r="B14" s="48"/>
      <c r="C14" s="4" t="s">
        <v>46</v>
      </c>
      <c r="D14" s="6">
        <v>1200</v>
      </c>
      <c r="E14" s="6">
        <v>2400</v>
      </c>
      <c r="F14" s="6">
        <f t="shared" si="0"/>
        <v>3600</v>
      </c>
      <c r="G14" s="6">
        <v>3500</v>
      </c>
      <c r="H14" s="6">
        <f t="shared" si="1"/>
        <v>900</v>
      </c>
    </row>
    <row r="15" spans="2:8">
      <c r="B15" s="47" t="s">
        <v>39</v>
      </c>
      <c r="C15" s="47"/>
      <c r="D15" s="6">
        <f>SUM(D5:D14)</f>
        <v>18860</v>
      </c>
      <c r="E15" s="6">
        <f>SUM(E5:E14)</f>
        <v>24660</v>
      </c>
      <c r="F15" s="6">
        <f>SUM(F5:F14)</f>
        <v>43520</v>
      </c>
      <c r="G15" s="6">
        <f>SUM(G5:G14)</f>
        <v>42100</v>
      </c>
      <c r="H15" s="6">
        <f>SUM(H5:H14)</f>
        <v>10880</v>
      </c>
    </row>
    <row r="17" spans="6:8">
      <c r="F17" s="49" t="s">
        <v>54</v>
      </c>
      <c r="G17" s="50"/>
      <c r="H17" s="7">
        <v>0.25</v>
      </c>
    </row>
  </sheetData>
  <scenarios current="1" sqref="H15">
    <scenario name="순이익 인상" locked="1" count="1" user="조준현">
      <inputCells r="H17" val="0.3" numFmtId="9"/>
    </scenario>
    <scenario name="순이익 인하" locked="1" count="1" user="조준현">
      <inputCells r="H17" val="0.2" numFmtId="9"/>
    </scenario>
  </scenarios>
  <mergeCells count="9">
    <mergeCell ref="B11:B14"/>
    <mergeCell ref="B15:C15"/>
    <mergeCell ref="F17:G17"/>
    <mergeCell ref="B1:H1"/>
    <mergeCell ref="B3:C4"/>
    <mergeCell ref="D3:F3"/>
    <mergeCell ref="G3:G4"/>
    <mergeCell ref="H3:H4"/>
    <mergeCell ref="B5:B10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5"/>
  <sheetViews>
    <sheetView workbookViewId="0">
      <selection sqref="A1:I1"/>
    </sheetView>
  </sheetViews>
  <sheetFormatPr defaultRowHeight="16.5"/>
  <cols>
    <col min="1" max="4" width="8.75" style="3" customWidth="1"/>
    <col min="5" max="7" width="9.25" style="3" bestFit="1" customWidth="1"/>
    <col min="8" max="9" width="8.5" style="3" bestFit="1" customWidth="1"/>
    <col min="10" max="16384" width="9" style="3"/>
  </cols>
  <sheetData>
    <row r="1" spans="1:9" ht="20.25">
      <c r="A1" s="52" t="s">
        <v>199</v>
      </c>
      <c r="B1" s="52"/>
      <c r="C1" s="52"/>
      <c r="D1" s="52"/>
      <c r="E1" s="52"/>
      <c r="F1" s="52"/>
      <c r="G1" s="52"/>
      <c r="H1" s="52"/>
      <c r="I1" s="52"/>
    </row>
    <row r="3" spans="1:9">
      <c r="A3" s="3" t="s">
        <v>200</v>
      </c>
    </row>
    <row r="4" spans="1:9">
      <c r="A4" s="1" t="s">
        <v>55</v>
      </c>
      <c r="B4" s="1" t="s">
        <v>56</v>
      </c>
      <c r="C4" s="1" t="s">
        <v>57</v>
      </c>
      <c r="D4" s="1" t="s">
        <v>58</v>
      </c>
    </row>
    <row r="5" spans="1:9">
      <c r="A5" s="1" t="s">
        <v>59</v>
      </c>
      <c r="B5" s="1">
        <v>88</v>
      </c>
      <c r="C5" s="4">
        <v>89</v>
      </c>
      <c r="D5" s="4">
        <v>96</v>
      </c>
    </row>
    <row r="6" spans="1:9">
      <c r="A6" s="1" t="s">
        <v>60</v>
      </c>
      <c r="B6" s="1">
        <v>95</v>
      </c>
      <c r="C6" s="4">
        <v>94</v>
      </c>
      <c r="D6" s="4">
        <v>90</v>
      </c>
    </row>
    <row r="7" spans="1:9">
      <c r="A7" s="1" t="s">
        <v>61</v>
      </c>
      <c r="B7" s="1">
        <v>90</v>
      </c>
      <c r="C7" s="4">
        <v>98</v>
      </c>
      <c r="D7" s="4">
        <v>87</v>
      </c>
    </row>
    <row r="8" spans="1:9">
      <c r="A8" s="1" t="s">
        <v>62</v>
      </c>
      <c r="B8" s="1">
        <v>94</v>
      </c>
      <c r="C8" s="4">
        <v>96</v>
      </c>
      <c r="D8" s="4">
        <v>92</v>
      </c>
    </row>
    <row r="9" spans="1:9">
      <c r="A9" s="1" t="s">
        <v>63</v>
      </c>
      <c r="B9" s="1">
        <v>92</v>
      </c>
      <c r="C9" s="4">
        <v>93</v>
      </c>
      <c r="D9" s="4">
        <v>91</v>
      </c>
    </row>
    <row r="11" spans="1:9">
      <c r="A11" s="3" t="s">
        <v>201</v>
      </c>
    </row>
    <row r="12" spans="1:9">
      <c r="A12" s="1" t="s">
        <v>55</v>
      </c>
      <c r="B12" s="1" t="s">
        <v>56</v>
      </c>
      <c r="C12" s="1" t="s">
        <v>57</v>
      </c>
      <c r="D12" s="1" t="s">
        <v>58</v>
      </c>
    </row>
    <row r="13" spans="1:9">
      <c r="A13" s="1" t="s">
        <v>64</v>
      </c>
      <c r="B13" s="1">
        <v>100</v>
      </c>
      <c r="C13" s="4">
        <v>95</v>
      </c>
      <c r="D13" s="4">
        <v>99</v>
      </c>
    </row>
    <row r="14" spans="1:9">
      <c r="A14" s="1" t="s">
        <v>60</v>
      </c>
      <c r="B14" s="1">
        <v>86</v>
      </c>
      <c r="C14" s="4">
        <v>90</v>
      </c>
      <c r="D14" s="4">
        <v>95</v>
      </c>
    </row>
    <row r="15" spans="1:9">
      <c r="A15" s="1" t="s">
        <v>65</v>
      </c>
      <c r="B15" s="1">
        <v>89</v>
      </c>
      <c r="C15" s="4">
        <v>90</v>
      </c>
      <c r="D15" s="4">
        <v>88</v>
      </c>
    </row>
    <row r="16" spans="1:9">
      <c r="A16" s="1" t="s">
        <v>63</v>
      </c>
      <c r="B16" s="1">
        <v>79</v>
      </c>
      <c r="C16" s="4">
        <v>88</v>
      </c>
      <c r="D16" s="4">
        <v>90</v>
      </c>
    </row>
    <row r="17" spans="1:10">
      <c r="A17" s="1" t="s">
        <v>61</v>
      </c>
      <c r="B17" s="1">
        <v>85</v>
      </c>
      <c r="C17" s="4">
        <v>94</v>
      </c>
      <c r="D17" s="4">
        <v>91</v>
      </c>
      <c r="G17" s="3" t="s">
        <v>203</v>
      </c>
    </row>
    <row r="18" spans="1:10">
      <c r="G18" s="1" t="s">
        <v>55</v>
      </c>
      <c r="H18" s="1" t="s">
        <v>56</v>
      </c>
      <c r="I18" s="1" t="s">
        <v>57</v>
      </c>
      <c r="J18" s="1" t="s">
        <v>58</v>
      </c>
    </row>
    <row r="19" spans="1:10">
      <c r="A19" s="3" t="s">
        <v>202</v>
      </c>
      <c r="G19" s="1" t="s">
        <v>59</v>
      </c>
      <c r="H19" s="4">
        <v>88</v>
      </c>
      <c r="I19" s="4">
        <v>89</v>
      </c>
      <c r="J19" s="4">
        <v>96</v>
      </c>
    </row>
    <row r="20" spans="1:10">
      <c r="A20" s="1" t="s">
        <v>55</v>
      </c>
      <c r="B20" s="1" t="s">
        <v>56</v>
      </c>
      <c r="C20" s="1" t="s">
        <v>57</v>
      </c>
      <c r="D20" s="1" t="s">
        <v>58</v>
      </c>
      <c r="G20" s="1" t="s">
        <v>60</v>
      </c>
      <c r="H20" s="4">
        <v>90.5</v>
      </c>
      <c r="I20" s="4">
        <v>92</v>
      </c>
      <c r="J20" s="4">
        <v>92.5</v>
      </c>
    </row>
    <row r="21" spans="1:10">
      <c r="A21" s="1" t="s">
        <v>63</v>
      </c>
      <c r="B21" s="1">
        <v>98</v>
      </c>
      <c r="C21" s="4">
        <v>93</v>
      </c>
      <c r="D21" s="4">
        <v>95</v>
      </c>
      <c r="G21" s="1" t="s">
        <v>61</v>
      </c>
      <c r="H21" s="4">
        <v>88.666666666666671</v>
      </c>
      <c r="I21" s="4">
        <v>95</v>
      </c>
      <c r="J21" s="4">
        <v>92</v>
      </c>
    </row>
    <row r="22" spans="1:10">
      <c r="A22" s="1" t="s">
        <v>62</v>
      </c>
      <c r="B22" s="1">
        <v>85</v>
      </c>
      <c r="C22" s="4">
        <v>89</v>
      </c>
      <c r="D22" s="4">
        <v>90</v>
      </c>
      <c r="G22" s="1" t="s">
        <v>62</v>
      </c>
      <c r="H22" s="4">
        <v>89.5</v>
      </c>
      <c r="I22" s="4">
        <v>92.5</v>
      </c>
      <c r="J22" s="4">
        <v>91</v>
      </c>
    </row>
    <row r="23" spans="1:10">
      <c r="A23" s="1" t="s">
        <v>65</v>
      </c>
      <c r="B23" s="1">
        <v>87</v>
      </c>
      <c r="C23" s="4">
        <v>88</v>
      </c>
      <c r="D23" s="4">
        <v>88</v>
      </c>
      <c r="G23" s="1" t="s">
        <v>63</v>
      </c>
      <c r="H23" s="4">
        <v>89.666666666666671</v>
      </c>
      <c r="I23" s="4">
        <v>91.333333333333329</v>
      </c>
      <c r="J23" s="4">
        <v>92</v>
      </c>
    </row>
    <row r="24" spans="1:10">
      <c r="A24" s="1" t="s">
        <v>64</v>
      </c>
      <c r="B24" s="1">
        <v>92</v>
      </c>
      <c r="C24" s="4">
        <v>91</v>
      </c>
      <c r="D24" s="4">
        <v>94</v>
      </c>
      <c r="G24" s="1" t="s">
        <v>64</v>
      </c>
      <c r="H24" s="4">
        <v>96</v>
      </c>
      <c r="I24" s="4">
        <v>93</v>
      </c>
      <c r="J24" s="4">
        <v>96.5</v>
      </c>
    </row>
    <row r="25" spans="1:10">
      <c r="A25" s="1" t="s">
        <v>61</v>
      </c>
      <c r="B25" s="1">
        <v>91</v>
      </c>
      <c r="C25" s="4">
        <v>93</v>
      </c>
      <c r="D25" s="4">
        <v>98</v>
      </c>
      <c r="G25" s="1" t="s">
        <v>65</v>
      </c>
      <c r="H25" s="4">
        <v>88</v>
      </c>
      <c r="I25" s="4">
        <v>89</v>
      </c>
      <c r="J25" s="4">
        <v>88</v>
      </c>
    </row>
  </sheetData>
  <dataConsolidate function="average" topLabels="1">
    <dataRefs count="3">
      <dataRef ref="A4:D9" sheet="분석작업-2"/>
      <dataRef ref="A12:D17" sheet="분석작업-2"/>
      <dataRef ref="A20:D25" sheet="분석작업-2"/>
    </dataRefs>
  </dataConsolidate>
  <mergeCells count="1">
    <mergeCell ref="A1:I1"/>
  </mergeCells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12"/>
  <sheetViews>
    <sheetView workbookViewId="0"/>
  </sheetViews>
  <sheetFormatPr defaultRowHeight="16.5"/>
  <cols>
    <col min="1" max="1" width="13.5" customWidth="1"/>
    <col min="2" max="2" width="11.75" customWidth="1"/>
    <col min="3" max="3" width="9.25" customWidth="1"/>
    <col min="4" max="4" width="16.125" customWidth="1"/>
    <col min="5" max="5" width="15" customWidth="1"/>
    <col min="6" max="6" width="16.125" customWidth="1"/>
    <col min="7" max="7" width="15" customWidth="1"/>
    <col min="8" max="8" width="4.25" customWidth="1"/>
  </cols>
  <sheetData>
    <row r="1" spans="1:7">
      <c r="A1" t="s">
        <v>255</v>
      </c>
    </row>
    <row r="3" spans="1:7">
      <c r="A3" s="37" t="s">
        <v>256</v>
      </c>
      <c r="B3" s="37" t="s">
        <v>257</v>
      </c>
      <c r="C3" s="37" t="s">
        <v>258</v>
      </c>
      <c r="D3" s="37" t="s">
        <v>259</v>
      </c>
      <c r="E3" s="37" t="s">
        <v>260</v>
      </c>
      <c r="F3" s="37" t="s">
        <v>261</v>
      </c>
      <c r="G3" s="37" t="s">
        <v>262</v>
      </c>
    </row>
    <row r="4" spans="1:7">
      <c r="A4" s="35" t="s">
        <v>263</v>
      </c>
      <c r="B4" s="35" t="s">
        <v>264</v>
      </c>
      <c r="C4" s="35" t="s">
        <v>265</v>
      </c>
      <c r="D4" s="36">
        <v>2400000</v>
      </c>
      <c r="E4" s="36">
        <v>2800000</v>
      </c>
      <c r="F4" s="36">
        <v>1500000</v>
      </c>
      <c r="G4" s="36">
        <f>SUM(D4:F4)</f>
        <v>6700000</v>
      </c>
    </row>
    <row r="5" spans="1:7">
      <c r="A5" s="35" t="s">
        <v>266</v>
      </c>
      <c r="B5" s="35" t="s">
        <v>267</v>
      </c>
      <c r="C5" s="35" t="s">
        <v>268</v>
      </c>
      <c r="D5" s="36">
        <v>3200000</v>
      </c>
      <c r="E5" s="36">
        <v>3500000</v>
      </c>
      <c r="F5" s="36">
        <v>2000000</v>
      </c>
      <c r="G5" s="36">
        <f t="shared" ref="G5:G12" si="0">SUM(D5:F5)</f>
        <v>8700000</v>
      </c>
    </row>
    <row r="6" spans="1:7">
      <c r="A6" s="35" t="s">
        <v>269</v>
      </c>
      <c r="B6" s="35" t="s">
        <v>270</v>
      </c>
      <c r="C6" s="35" t="s">
        <v>271</v>
      </c>
      <c r="D6" s="36">
        <v>2000000</v>
      </c>
      <c r="E6" s="36">
        <v>1750000</v>
      </c>
      <c r="F6" s="36">
        <v>1250000</v>
      </c>
      <c r="G6" s="36">
        <f t="shared" si="0"/>
        <v>5000000</v>
      </c>
    </row>
    <row r="7" spans="1:7">
      <c r="A7" s="35" t="s">
        <v>272</v>
      </c>
      <c r="B7" s="35" t="s">
        <v>273</v>
      </c>
      <c r="C7" s="35" t="s">
        <v>274</v>
      </c>
      <c r="D7" s="36">
        <v>2480000</v>
      </c>
      <c r="E7" s="36">
        <v>2870000</v>
      </c>
      <c r="F7" s="36">
        <v>1550000</v>
      </c>
      <c r="G7" s="36">
        <f t="shared" si="0"/>
        <v>6900000</v>
      </c>
    </row>
    <row r="8" spans="1:7">
      <c r="A8" s="35" t="s">
        <v>275</v>
      </c>
      <c r="B8" s="35" t="s">
        <v>276</v>
      </c>
      <c r="C8" s="35" t="s">
        <v>277</v>
      </c>
      <c r="D8" s="36">
        <v>1680000</v>
      </c>
      <c r="E8" s="36">
        <v>1820000</v>
      </c>
      <c r="F8" s="36">
        <v>1300000</v>
      </c>
      <c r="G8" s="36">
        <f t="shared" si="0"/>
        <v>4800000</v>
      </c>
    </row>
    <row r="9" spans="1:7">
      <c r="A9" s="35" t="s">
        <v>278</v>
      </c>
      <c r="B9" s="35" t="s">
        <v>279</v>
      </c>
      <c r="C9" s="35" t="s">
        <v>280</v>
      </c>
      <c r="D9" s="36">
        <v>2320000</v>
      </c>
      <c r="E9" s="36">
        <v>2730000</v>
      </c>
      <c r="F9" s="36">
        <v>1450000</v>
      </c>
      <c r="G9" s="36">
        <f t="shared" si="0"/>
        <v>6500000</v>
      </c>
    </row>
    <row r="10" spans="1:7">
      <c r="A10" s="35" t="s">
        <v>281</v>
      </c>
      <c r="B10" s="35" t="s">
        <v>282</v>
      </c>
      <c r="C10" s="35" t="s">
        <v>283</v>
      </c>
      <c r="D10" s="36">
        <v>1600000</v>
      </c>
      <c r="E10" s="36">
        <v>1470000</v>
      </c>
      <c r="F10" s="36">
        <v>1000000</v>
      </c>
      <c r="G10" s="36">
        <f t="shared" si="0"/>
        <v>4070000</v>
      </c>
    </row>
    <row r="11" spans="1:7">
      <c r="A11" s="35" t="s">
        <v>284</v>
      </c>
      <c r="B11" s="35" t="s">
        <v>285</v>
      </c>
      <c r="C11" s="35" t="s">
        <v>286</v>
      </c>
      <c r="D11" s="36">
        <v>3120000</v>
      </c>
      <c r="E11" s="36">
        <v>3430000</v>
      </c>
      <c r="F11" s="36">
        <v>1950000</v>
      </c>
      <c r="G11" s="36">
        <f t="shared" si="0"/>
        <v>8500000</v>
      </c>
    </row>
    <row r="12" spans="1:7">
      <c r="A12" s="35" t="s">
        <v>287</v>
      </c>
      <c r="B12" s="35" t="s">
        <v>288</v>
      </c>
      <c r="C12" s="35" t="s">
        <v>289</v>
      </c>
      <c r="D12" s="36">
        <v>1600000</v>
      </c>
      <c r="E12" s="36">
        <v>1750000</v>
      </c>
      <c r="F12" s="36">
        <v>1250000</v>
      </c>
      <c r="G12" s="36">
        <f t="shared" si="0"/>
        <v>4600000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10"/>
  <sheetViews>
    <sheetView workbookViewId="0"/>
  </sheetViews>
  <sheetFormatPr defaultRowHeight="16.5"/>
  <cols>
    <col min="1" max="1" width="13.5" style="3" customWidth="1"/>
    <col min="2" max="2" width="11.75" style="3" bestFit="1" customWidth="1"/>
    <col min="3" max="3" width="9.25" style="3" bestFit="1" customWidth="1"/>
    <col min="4" max="7" width="15" style="3" bestFit="1" customWidth="1"/>
    <col min="8" max="8" width="3.75" style="3" customWidth="1"/>
    <col min="9" max="16384" width="9" style="3"/>
  </cols>
  <sheetData>
    <row r="1" spans="1:7">
      <c r="A1" s="3" t="s">
        <v>176</v>
      </c>
    </row>
    <row r="3" spans="1:7">
      <c r="A3" s="4" t="s">
        <v>177</v>
      </c>
      <c r="B3" s="4" t="s">
        <v>178</v>
      </c>
      <c r="C3" s="4" t="s">
        <v>179</v>
      </c>
      <c r="D3" s="4" t="s">
        <v>180</v>
      </c>
      <c r="E3" s="4" t="s">
        <v>181</v>
      </c>
      <c r="F3" s="4" t="s">
        <v>182</v>
      </c>
      <c r="G3" s="4" t="s">
        <v>183</v>
      </c>
    </row>
    <row r="4" spans="1:7">
      <c r="A4" s="4" t="s">
        <v>184</v>
      </c>
      <c r="B4" s="4" t="s">
        <v>185</v>
      </c>
      <c r="C4" s="4">
        <v>2</v>
      </c>
      <c r="D4" s="34">
        <v>2000000</v>
      </c>
      <c r="E4" s="34">
        <v>210000</v>
      </c>
      <c r="F4" s="34">
        <v>660000</v>
      </c>
      <c r="G4" s="34">
        <v>380000</v>
      </c>
    </row>
    <row r="5" spans="1:7">
      <c r="A5" s="4" t="s">
        <v>186</v>
      </c>
      <c r="B5" s="4" t="s">
        <v>187</v>
      </c>
      <c r="C5" s="4">
        <v>5</v>
      </c>
      <c r="D5" s="34">
        <v>4200000</v>
      </c>
      <c r="E5" s="34">
        <v>630000</v>
      </c>
      <c r="F5" s="34">
        <v>1200000</v>
      </c>
      <c r="G5" s="34">
        <v>800000</v>
      </c>
    </row>
    <row r="6" spans="1:7">
      <c r="A6" s="4" t="s">
        <v>188</v>
      </c>
      <c r="B6" s="4" t="s">
        <v>185</v>
      </c>
      <c r="C6" s="4">
        <v>4</v>
      </c>
      <c r="D6" s="34">
        <v>3500000</v>
      </c>
      <c r="E6" s="34">
        <v>400000</v>
      </c>
      <c r="F6" s="34">
        <v>1000000</v>
      </c>
      <c r="G6" s="34">
        <v>620000</v>
      </c>
    </row>
    <row r="7" spans="1:7">
      <c r="A7" s="4" t="s">
        <v>189</v>
      </c>
      <c r="B7" s="4" t="s">
        <v>187</v>
      </c>
      <c r="C7" s="4">
        <v>3</v>
      </c>
      <c r="D7" s="34">
        <v>3000000</v>
      </c>
      <c r="E7" s="34">
        <v>370000</v>
      </c>
      <c r="F7" s="34">
        <v>850000</v>
      </c>
      <c r="G7" s="34">
        <v>550000</v>
      </c>
    </row>
    <row r="8" spans="1:7">
      <c r="A8" s="4" t="s">
        <v>190</v>
      </c>
      <c r="B8" s="4" t="s">
        <v>185</v>
      </c>
      <c r="C8" s="4">
        <v>5</v>
      </c>
      <c r="D8" s="34">
        <v>5500000</v>
      </c>
      <c r="E8" s="34">
        <v>800000</v>
      </c>
      <c r="F8" s="34">
        <v>1500000</v>
      </c>
      <c r="G8" s="34">
        <v>1100000</v>
      </c>
    </row>
    <row r="9" spans="1:7">
      <c r="A9" s="4" t="s">
        <v>191</v>
      </c>
      <c r="B9" s="4" t="s">
        <v>187</v>
      </c>
      <c r="C9" s="4">
        <v>1</v>
      </c>
      <c r="D9" s="34">
        <v>1500000</v>
      </c>
      <c r="E9" s="34">
        <v>500000</v>
      </c>
      <c r="F9" s="34">
        <v>300000</v>
      </c>
      <c r="G9" s="34">
        <v>200000</v>
      </c>
    </row>
    <row r="10" spans="1:7">
      <c r="A10" s="4" t="s">
        <v>192</v>
      </c>
      <c r="B10" s="4" t="s">
        <v>187</v>
      </c>
      <c r="C10" s="4">
        <v>2</v>
      </c>
      <c r="D10" s="34">
        <v>2500000</v>
      </c>
      <c r="E10" s="34">
        <v>240000</v>
      </c>
      <c r="F10" s="34">
        <v>700000</v>
      </c>
      <c r="G10" s="34">
        <v>400000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순이익율</vt:lpstr>
      <vt:lpstr>순이익합계</vt:lpstr>
      <vt:lpstr>학생이름</vt:lpstr>
    </vt:vector>
  </TitlesOfParts>
  <Company>길벗R&amp;D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조준현</cp:lastModifiedBy>
  <dcterms:created xsi:type="dcterms:W3CDTF">2011-06-14T11:30:34Z</dcterms:created>
  <dcterms:modified xsi:type="dcterms:W3CDTF">2023-10-09T17:26:43Z</dcterms:modified>
</cp:coreProperties>
</file>