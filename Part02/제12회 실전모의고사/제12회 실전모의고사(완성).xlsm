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12회 실전모의고사\"/>
    </mc:Choice>
  </mc:AlternateContent>
  <xr:revisionPtr revIDLastSave="0" documentId="13_ncr:1_{AF8CA469-49F1-40E5-BE0F-E5C814C6D231}" xr6:coauthVersionLast="47" xr6:coauthVersionMax="47" xr10:uidLastSave="{00000000-0000-0000-0000-000000000000}"/>
  <bookViews>
    <workbookView xWindow="9675" yWindow="1275" windowWidth="15390" windowHeight="12690" xr2:uid="{00000000-000D-0000-FFFF-FFFF00000000}"/>
  </bookViews>
  <sheets>
    <sheet name="기본작업-1" sheetId="4" r:id="rId1"/>
    <sheet name="기본작업-2" sheetId="5" r:id="rId2"/>
    <sheet name="기본작업-3" sheetId="6" r:id="rId3"/>
    <sheet name="계산작업" sheetId="7" r:id="rId4"/>
    <sheet name="분석작업-1" sheetId="8" r:id="rId5"/>
    <sheet name="분석작업-2" sheetId="9" r:id="rId6"/>
    <sheet name="매크로작업" sheetId="10" r:id="rId7"/>
    <sheet name="차트작업" sheetId="11" r:id="rId8"/>
  </sheets>
  <definedNames>
    <definedName name="_xlnm._FilterDatabase" localSheetId="2" hidden="1">'기본작업-3'!$A$3:$G$16</definedName>
    <definedName name="MS_Access_Database_Query" localSheetId="2">'기본작업-3'!$G$3:$G$16</definedName>
    <definedName name="등급">'기본작업-2'!$B$6:$B$14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0" l="1"/>
  <c r="F5" i="10"/>
  <c r="F6" i="10"/>
  <c r="F7" i="10"/>
  <c r="F8" i="10"/>
  <c r="F9" i="10"/>
  <c r="F10" i="10"/>
  <c r="F3" i="10"/>
  <c r="E23" i="8" l="1"/>
  <c r="E18" i="8"/>
  <c r="E13" i="8"/>
  <c r="E8" i="8"/>
  <c r="E25" i="8" s="1"/>
  <c r="D24" i="8"/>
  <c r="D19" i="8"/>
  <c r="D14" i="8"/>
  <c r="D9" i="8"/>
  <c r="D26" i="8" s="1"/>
  <c r="J4" i="7"/>
  <c r="J5" i="7"/>
  <c r="J6" i="7"/>
  <c r="J7" i="7"/>
  <c r="J8" i="7"/>
  <c r="J3" i="7"/>
  <c r="J16" i="7"/>
  <c r="J17" i="7"/>
  <c r="J18" i="7"/>
  <c r="J19" i="7"/>
  <c r="J20" i="7"/>
  <c r="J21" i="7"/>
  <c r="J22" i="7"/>
  <c r="J15" i="7"/>
  <c r="D29" i="7" l="1"/>
  <c r="D30" i="7"/>
  <c r="D31" i="7"/>
  <c r="D32" i="7"/>
  <c r="D33" i="7"/>
  <c r="D28" i="7"/>
  <c r="I24" i="7"/>
  <c r="D19" i="7"/>
  <c r="D20" i="7"/>
  <c r="D21" i="7"/>
  <c r="D22" i="7"/>
  <c r="D23" i="7"/>
  <c r="D24" i="7"/>
  <c r="D18" i="7"/>
  <c r="K4" i="7"/>
  <c r="K5" i="7"/>
  <c r="K6" i="7"/>
  <c r="K7" i="7"/>
  <c r="K8" i="7"/>
  <c r="K3" i="7"/>
  <c r="D4" i="7"/>
  <c r="D5" i="7"/>
  <c r="D6" i="7"/>
  <c r="D7" i="7"/>
  <c r="D8" i="7"/>
  <c r="D3" i="7"/>
  <c r="D9" i="9" l="1"/>
  <c r="C9" i="9"/>
  <c r="B5" i="9"/>
  <c r="B6" i="9" s="1"/>
  <c r="E4" i="9"/>
  <c r="F14" i="5"/>
  <c r="F13" i="5"/>
  <c r="F12" i="5"/>
  <c r="F11" i="5"/>
  <c r="F10" i="5"/>
  <c r="F9" i="5"/>
  <c r="F8" i="5"/>
  <c r="F7" i="5"/>
  <c r="F6" i="5"/>
  <c r="B7" i="9" l="1"/>
  <c r="E6" i="9"/>
  <c r="F6" i="9" s="1"/>
  <c r="F4" i="9"/>
  <c r="E5" i="9"/>
  <c r="F5" i="9" l="1"/>
  <c r="B8" i="9"/>
  <c r="E7" i="9"/>
  <c r="F7" i="9" s="1"/>
  <c r="E8" i="9" l="1"/>
  <c r="E9" i="9" s="1"/>
  <c r="B9" i="9"/>
  <c r="F8" i="9" l="1"/>
  <c r="F9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연결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<sst xmlns="http://schemas.openxmlformats.org/spreadsheetml/2006/main" count="271" uniqueCount="228">
  <si>
    <t>날짜</t>
  </si>
  <si>
    <t>코드</t>
  </si>
  <si>
    <t>제품명</t>
  </si>
  <si>
    <t>구분</t>
  </si>
  <si>
    <t>제품단가</t>
  </si>
  <si>
    <t>수량</t>
  </si>
  <si>
    <t>입금금액</t>
  </si>
  <si>
    <t>수출</t>
  </si>
  <si>
    <t>은타일</t>
  </si>
  <si>
    <t>금도료</t>
  </si>
  <si>
    <t>수입</t>
  </si>
  <si>
    <t>ps02</t>
  </si>
  <si>
    <t>ps03</t>
  </si>
  <si>
    <t>ps04</t>
  </si>
  <si>
    <t>ps05</t>
  </si>
  <si>
    <t>ps06</t>
  </si>
  <si>
    <t>성명</t>
  </si>
  <si>
    <t>대출일</t>
  </si>
  <si>
    <t>반납일</t>
  </si>
  <si>
    <t>액션</t>
    <phoneticPr fontId="3" type="noConversion"/>
  </si>
  <si>
    <t>[표1] 직원급여내역</t>
    <phoneticPr fontId="3" type="noConversion"/>
  </si>
  <si>
    <t>[표2] 조별단합대회 경기 결과표</t>
    <phoneticPr fontId="3" type="noConversion"/>
  </si>
  <si>
    <t>사원명</t>
    <phoneticPr fontId="3" type="noConversion"/>
  </si>
  <si>
    <t>급여총액</t>
    <phoneticPr fontId="3" type="noConversion"/>
  </si>
  <si>
    <t>누진공제</t>
    <phoneticPr fontId="3" type="noConversion"/>
  </si>
  <si>
    <t>세금공제액</t>
    <phoneticPr fontId="3" type="noConversion"/>
  </si>
  <si>
    <t>조</t>
    <phoneticPr fontId="3" type="noConversion"/>
  </si>
  <si>
    <t>발야구</t>
    <phoneticPr fontId="3" type="noConversion"/>
  </si>
  <si>
    <t>줄다리기</t>
    <phoneticPr fontId="3" type="noConversion"/>
  </si>
  <si>
    <t>계주</t>
    <phoneticPr fontId="3" type="noConversion"/>
  </si>
  <si>
    <t>총점</t>
    <phoneticPr fontId="3" type="noConversion"/>
  </si>
  <si>
    <t>순위</t>
    <phoneticPr fontId="3" type="noConversion"/>
  </si>
  <si>
    <t>이지연</t>
    <phoneticPr fontId="3" type="noConversion"/>
  </si>
  <si>
    <t>생산1팀</t>
    <phoneticPr fontId="3" type="noConversion"/>
  </si>
  <si>
    <t>한가람</t>
    <phoneticPr fontId="3" type="noConversion"/>
  </si>
  <si>
    <t>경영1팀</t>
    <phoneticPr fontId="3" type="noConversion"/>
  </si>
  <si>
    <t>오두영</t>
    <phoneticPr fontId="3" type="noConversion"/>
  </si>
  <si>
    <t>영업1팀</t>
    <phoneticPr fontId="3" type="noConversion"/>
  </si>
  <si>
    <t>안치연</t>
    <phoneticPr fontId="3" type="noConversion"/>
  </si>
  <si>
    <t>생산2팀</t>
    <phoneticPr fontId="3" type="noConversion"/>
  </si>
  <si>
    <t>명기영</t>
    <phoneticPr fontId="3" type="noConversion"/>
  </si>
  <si>
    <t>경영2팀</t>
    <phoneticPr fontId="3" type="noConversion"/>
  </si>
  <si>
    <t>나미인</t>
    <phoneticPr fontId="3" type="noConversion"/>
  </si>
  <si>
    <t>영업2팀</t>
    <phoneticPr fontId="3" type="noConversion"/>
  </si>
  <si>
    <t>세율표</t>
    <phoneticPr fontId="3" type="noConversion"/>
  </si>
  <si>
    <t>세율</t>
    <phoneticPr fontId="3" type="noConversion"/>
  </si>
  <si>
    <t>[표4] 외국인 근로자 급여내역표</t>
    <phoneticPr fontId="3" type="noConversion"/>
  </si>
  <si>
    <t>성명</t>
    <phoneticPr fontId="3" type="noConversion"/>
  </si>
  <si>
    <t>부서명</t>
    <phoneticPr fontId="3" type="noConversion"/>
  </si>
  <si>
    <t>기본급</t>
    <phoneticPr fontId="3" type="noConversion"/>
  </si>
  <si>
    <t>추가지급액</t>
    <phoneticPr fontId="3" type="noConversion"/>
  </si>
  <si>
    <t>실수령액</t>
    <phoneticPr fontId="3" type="noConversion"/>
  </si>
  <si>
    <t>쏘완</t>
    <phoneticPr fontId="3" type="noConversion"/>
  </si>
  <si>
    <t>영업부</t>
    <phoneticPr fontId="3" type="noConversion"/>
  </si>
  <si>
    <t>[표3] 버스운행시간표</t>
    <phoneticPr fontId="3" type="noConversion"/>
  </si>
  <si>
    <t>예양</t>
    <phoneticPr fontId="3" type="noConversion"/>
  </si>
  <si>
    <t>자재부</t>
    <phoneticPr fontId="3" type="noConversion"/>
  </si>
  <si>
    <t>도착지</t>
    <phoneticPr fontId="3" type="noConversion"/>
  </si>
  <si>
    <t>출발시간</t>
    <phoneticPr fontId="3" type="noConversion"/>
  </si>
  <si>
    <t>정류장</t>
    <phoneticPr fontId="3" type="noConversion"/>
  </si>
  <si>
    <t>도착예정시간</t>
    <phoneticPr fontId="3" type="noConversion"/>
  </si>
  <si>
    <t>크리스</t>
    <phoneticPr fontId="3" type="noConversion"/>
  </si>
  <si>
    <t>시청</t>
    <phoneticPr fontId="3" type="noConversion"/>
  </si>
  <si>
    <t>그레펜</t>
    <phoneticPr fontId="3" type="noConversion"/>
  </si>
  <si>
    <t>망원동</t>
    <phoneticPr fontId="3" type="noConversion"/>
  </si>
  <si>
    <t>루티</t>
    <phoneticPr fontId="3" type="noConversion"/>
  </si>
  <si>
    <t>서교동</t>
    <phoneticPr fontId="3" type="noConversion"/>
  </si>
  <si>
    <t>마봉</t>
    <phoneticPr fontId="3" type="noConversion"/>
  </si>
  <si>
    <t>생산부</t>
    <phoneticPr fontId="3" type="noConversion"/>
  </si>
  <si>
    <t>상암동</t>
    <phoneticPr fontId="3" type="noConversion"/>
  </si>
  <si>
    <t>가이온</t>
    <phoneticPr fontId="3" type="noConversion"/>
  </si>
  <si>
    <t>영등포역</t>
    <phoneticPr fontId="3" type="noConversion"/>
  </si>
  <si>
    <t>알리</t>
    <phoneticPr fontId="3" type="noConversion"/>
  </si>
  <si>
    <t>신촌역</t>
    <phoneticPr fontId="3" type="noConversion"/>
  </si>
  <si>
    <t>남대문</t>
    <phoneticPr fontId="3" type="noConversion"/>
  </si>
  <si>
    <t>생산부 추가지급액</t>
    <phoneticPr fontId="3" type="noConversion"/>
  </si>
  <si>
    <t>[표5] 완제품 생산 현황표</t>
    <phoneticPr fontId="3" type="noConversion"/>
  </si>
  <si>
    <t>제품</t>
    <phoneticPr fontId="3" type="noConversion"/>
  </si>
  <si>
    <t>공정</t>
    <phoneticPr fontId="3" type="noConversion"/>
  </si>
  <si>
    <t>옵션</t>
    <phoneticPr fontId="3" type="noConversion"/>
  </si>
  <si>
    <t>제품식별번호</t>
    <phoneticPr fontId="3" type="noConversion"/>
  </si>
  <si>
    <t>abc</t>
    <phoneticPr fontId="3" type="noConversion"/>
  </si>
  <si>
    <t>ps01</t>
    <phoneticPr fontId="3" type="noConversion"/>
  </si>
  <si>
    <t>g</t>
    <phoneticPr fontId="3" type="noConversion"/>
  </si>
  <si>
    <t>rpg</t>
    <phoneticPr fontId="3" type="noConversion"/>
  </si>
  <si>
    <t>k</t>
    <phoneticPr fontId="3" type="noConversion"/>
  </si>
  <si>
    <t>dga</t>
    <phoneticPr fontId="3" type="noConversion"/>
  </si>
  <si>
    <t>j</t>
    <phoneticPr fontId="3" type="noConversion"/>
  </si>
  <si>
    <t>lew</t>
    <phoneticPr fontId="3" type="noConversion"/>
  </si>
  <si>
    <t>w</t>
    <phoneticPr fontId="3" type="noConversion"/>
  </si>
  <si>
    <t>kei</t>
    <phoneticPr fontId="3" type="noConversion"/>
  </si>
  <si>
    <t>c</t>
    <phoneticPr fontId="3" type="noConversion"/>
  </si>
  <si>
    <t>cle</t>
    <phoneticPr fontId="3" type="noConversion"/>
  </si>
  <si>
    <t>r</t>
    <phoneticPr fontId="3" type="noConversion"/>
  </si>
  <si>
    <t>세공품 수출입 현황</t>
    <phoneticPr fontId="3" type="noConversion"/>
  </si>
  <si>
    <t>S200</t>
    <phoneticPr fontId="3" type="noConversion"/>
  </si>
  <si>
    <t>은타일</t>
    <phoneticPr fontId="3" type="noConversion"/>
  </si>
  <si>
    <t>수입</t>
    <phoneticPr fontId="3" type="noConversion"/>
  </si>
  <si>
    <t>C100</t>
    <phoneticPr fontId="3" type="noConversion"/>
  </si>
  <si>
    <t>세공품</t>
    <phoneticPr fontId="3" type="noConversion"/>
  </si>
  <si>
    <t>수출</t>
    <phoneticPr fontId="3" type="noConversion"/>
  </si>
  <si>
    <t>수입</t>
    <phoneticPr fontId="3" type="noConversion"/>
  </si>
  <si>
    <t>G111</t>
    <phoneticPr fontId="3" type="noConversion"/>
  </si>
  <si>
    <t>G111</t>
    <phoneticPr fontId="3" type="noConversion"/>
  </si>
  <si>
    <t>금도료</t>
    <phoneticPr fontId="3" type="noConversion"/>
  </si>
  <si>
    <t>S200</t>
    <phoneticPr fontId="3" type="noConversion"/>
  </si>
  <si>
    <t>금도료</t>
    <phoneticPr fontId="3" type="noConversion"/>
  </si>
  <si>
    <t>S200</t>
    <phoneticPr fontId="3" type="noConversion"/>
  </si>
  <si>
    <t>은타일</t>
    <phoneticPr fontId="3" type="noConversion"/>
  </si>
  <si>
    <t>장르</t>
    <phoneticPr fontId="3" type="noConversion"/>
  </si>
  <si>
    <t>등급</t>
    <phoneticPr fontId="3" type="noConversion"/>
  </si>
  <si>
    <t>상반기 판매량</t>
    <phoneticPr fontId="3" type="noConversion"/>
  </si>
  <si>
    <t>평균판매량</t>
    <phoneticPr fontId="3" type="noConversion"/>
  </si>
  <si>
    <t>1월</t>
    <phoneticPr fontId="3" type="noConversion"/>
  </si>
  <si>
    <t>2월</t>
    <phoneticPr fontId="3" type="noConversion"/>
  </si>
  <si>
    <t>3월</t>
    <phoneticPr fontId="3" type="noConversion"/>
  </si>
  <si>
    <t>15세이용가</t>
    <phoneticPr fontId="3" type="noConversion"/>
  </si>
  <si>
    <t>시뮬레이션</t>
    <phoneticPr fontId="3" type="noConversion"/>
  </si>
  <si>
    <t>스포츠</t>
    <phoneticPr fontId="3" type="noConversion"/>
  </si>
  <si>
    <t>전체이용가</t>
    <phoneticPr fontId="3" type="noConversion"/>
  </si>
  <si>
    <t>어드벤처</t>
    <phoneticPr fontId="3" type="noConversion"/>
  </si>
  <si>
    <t>12세이용가</t>
    <phoneticPr fontId="3" type="noConversion"/>
  </si>
  <si>
    <t>RPG</t>
    <phoneticPr fontId="3" type="noConversion"/>
  </si>
  <si>
    <t>레이싱</t>
    <phoneticPr fontId="3" type="noConversion"/>
  </si>
  <si>
    <t>슈팅</t>
    <phoneticPr fontId="3" type="noConversion"/>
  </si>
  <si>
    <t>퍼즐</t>
    <phoneticPr fontId="3" type="noConversion"/>
  </si>
  <si>
    <t>아케이드</t>
    <phoneticPr fontId="3" type="noConversion"/>
  </si>
  <si>
    <t>단위:명</t>
    <phoneticPr fontId="3" type="noConversion"/>
  </si>
  <si>
    <t>년도</t>
    <phoneticPr fontId="3" type="noConversion"/>
  </si>
  <si>
    <t>발생건수</t>
    <phoneticPr fontId="3" type="noConversion"/>
  </si>
  <si>
    <t>사망자수</t>
    <phoneticPr fontId="3" type="noConversion"/>
  </si>
  <si>
    <t>부상자수</t>
    <phoneticPr fontId="3" type="noConversion"/>
  </si>
  <si>
    <t>중상자수</t>
    <phoneticPr fontId="3" type="noConversion"/>
  </si>
  <si>
    <t>경상자수</t>
    <phoneticPr fontId="3" type="noConversion"/>
  </si>
  <si>
    <t>성명</t>
    <phoneticPr fontId="3" type="noConversion"/>
  </si>
  <si>
    <t>기본급</t>
    <phoneticPr fontId="3" type="noConversion"/>
  </si>
  <si>
    <t>보조지원비</t>
    <phoneticPr fontId="3" type="noConversion"/>
  </si>
  <si>
    <t>가계지원비</t>
    <phoneticPr fontId="3" type="noConversion"/>
  </si>
  <si>
    <t>세금</t>
    <phoneticPr fontId="3" type="noConversion"/>
  </si>
  <si>
    <t>실수령액</t>
    <phoneticPr fontId="3" type="noConversion"/>
  </si>
  <si>
    <t>김사진</t>
    <phoneticPr fontId="3" type="noConversion"/>
  </si>
  <si>
    <t>유현옥</t>
    <phoneticPr fontId="3" type="noConversion"/>
  </si>
  <si>
    <t>강민철</t>
    <phoneticPr fontId="3" type="noConversion"/>
  </si>
  <si>
    <t>최강순</t>
    <phoneticPr fontId="3" type="noConversion"/>
  </si>
  <si>
    <t>김요열</t>
    <phoneticPr fontId="3" type="noConversion"/>
  </si>
  <si>
    <t>윤정희</t>
    <phoneticPr fontId="3" type="noConversion"/>
  </si>
  <si>
    <t>한상훈</t>
    <phoneticPr fontId="3" type="noConversion"/>
  </si>
  <si>
    <t>박근희</t>
    <phoneticPr fontId="3" type="noConversion"/>
  </si>
  <si>
    <t>손익계산서</t>
    <phoneticPr fontId="3" type="noConversion"/>
  </si>
  <si>
    <t>매출액</t>
    <phoneticPr fontId="3" type="noConversion"/>
  </si>
  <si>
    <t>영업비</t>
    <phoneticPr fontId="3" type="noConversion"/>
  </si>
  <si>
    <t>관리비</t>
    <phoneticPr fontId="3" type="noConversion"/>
  </si>
  <si>
    <t>순이익</t>
    <phoneticPr fontId="3" type="noConversion"/>
  </si>
  <si>
    <t>세율</t>
    <phoneticPr fontId="3" type="noConversion"/>
  </si>
  <si>
    <t>연평균 성장율</t>
    <phoneticPr fontId="3" type="noConversion"/>
  </si>
  <si>
    <t>평균</t>
    <phoneticPr fontId="3" type="noConversion"/>
  </si>
  <si>
    <t>영화 DVD 대여 현황</t>
    <phoneticPr fontId="3" type="noConversion"/>
  </si>
  <si>
    <t>[표1] 6월 임금명세표</t>
    <phoneticPr fontId="3" type="noConversion"/>
  </si>
  <si>
    <t>5월 재고 현황</t>
    <phoneticPr fontId="3" type="noConversion"/>
  </si>
  <si>
    <t>2020년</t>
    <phoneticPr fontId="3" type="noConversion"/>
  </si>
  <si>
    <t>제품명</t>
    <phoneticPr fontId="3" type="noConversion"/>
  </si>
  <si>
    <t>단가</t>
    <phoneticPr fontId="3" type="noConversion"/>
  </si>
  <si>
    <t>5월주문량</t>
    <phoneticPr fontId="3" type="noConversion"/>
  </si>
  <si>
    <t>월말재고</t>
    <phoneticPr fontId="3" type="noConversion"/>
  </si>
  <si>
    <t>재고율</t>
    <phoneticPr fontId="3" type="noConversion"/>
  </si>
  <si>
    <t>6월주문량</t>
    <phoneticPr fontId="3" type="noConversion"/>
  </si>
  <si>
    <t>세탁기</t>
    <phoneticPr fontId="3" type="noConversion"/>
  </si>
  <si>
    <t>전자레인지</t>
    <phoneticPr fontId="3" type="noConversion"/>
  </si>
  <si>
    <t>컬러TV</t>
    <phoneticPr fontId="3" type="noConversion"/>
  </si>
  <si>
    <t>VTR</t>
    <phoneticPr fontId="3" type="noConversion"/>
  </si>
  <si>
    <t>CD플레이어</t>
    <phoneticPr fontId="3" type="noConversion"/>
  </si>
  <si>
    <t>냉장고</t>
    <phoneticPr fontId="3" type="noConversion"/>
  </si>
  <si>
    <t>선풍기</t>
    <phoneticPr fontId="3" type="noConversion"/>
  </si>
  <si>
    <t>드라마 요약</t>
  </si>
  <si>
    <t>애니메이션 요약</t>
  </si>
  <si>
    <t>액션 요약</t>
  </si>
  <si>
    <t>판타지 요약</t>
  </si>
  <si>
    <t>총합계</t>
  </si>
  <si>
    <t>드라마 평균</t>
  </si>
  <si>
    <t>애니메이션 평균</t>
  </si>
  <si>
    <t>액션 평균</t>
  </si>
  <si>
    <t>판타지 평균</t>
  </si>
  <si>
    <t>전체 평균</t>
  </si>
  <si>
    <t>연도별 교통사고 건수</t>
    <phoneticPr fontId="3" type="noConversion"/>
  </si>
  <si>
    <t>연도</t>
    <phoneticPr fontId="3" type="noConversion"/>
  </si>
  <si>
    <t>2024년 상반기 게임 DVD 판매 현황</t>
    <phoneticPr fontId="3" type="noConversion"/>
  </si>
  <si>
    <t>영화명</t>
  </si>
  <si>
    <t>장르</t>
  </si>
  <si>
    <t>대여료</t>
  </si>
  <si>
    <t>연체료</t>
  </si>
  <si>
    <t>친구</t>
  </si>
  <si>
    <t>액션</t>
  </si>
  <si>
    <t>김은조</t>
  </si>
  <si>
    <t>엑스맨</t>
  </si>
  <si>
    <t>판타지</t>
  </si>
  <si>
    <t>한성기</t>
  </si>
  <si>
    <t>쿵푸팬더</t>
  </si>
  <si>
    <t>애니메이션</t>
  </si>
  <si>
    <t>정은경</t>
  </si>
  <si>
    <t>반지의제왕</t>
  </si>
  <si>
    <t>어수한</t>
  </si>
  <si>
    <t>퍼팩트월드</t>
  </si>
  <si>
    <t>드라마</t>
  </si>
  <si>
    <t>최철근</t>
  </si>
  <si>
    <t>레옹</t>
  </si>
  <si>
    <t>한미인</t>
  </si>
  <si>
    <t>쇼생크탈출</t>
  </si>
  <si>
    <t>양해일</t>
  </si>
  <si>
    <t>뮬란</t>
  </si>
  <si>
    <t>김성희</t>
  </si>
  <si>
    <t>해리포터</t>
  </si>
  <si>
    <t>황경엽</t>
  </si>
  <si>
    <t>시네마천국</t>
  </si>
  <si>
    <t>김민수</t>
  </si>
  <si>
    <t>포레스트 검프</t>
  </si>
  <si>
    <t>우한미</t>
  </si>
  <si>
    <t>토이스토리</t>
  </si>
  <si>
    <t>여진희</t>
  </si>
  <si>
    <t>글레디에이터</t>
  </si>
  <si>
    <t>유영조</t>
  </si>
  <si>
    <t>2019년</t>
  </si>
  <si>
    <t>2020년</t>
  </si>
  <si>
    <t>2021년</t>
  </si>
  <si>
    <t>2022년</t>
  </si>
  <si>
    <t>2023년</t>
  </si>
  <si>
    <t>2023년</t>
    <phoneticPr fontId="3" type="noConversion"/>
  </si>
  <si>
    <t>2022년</t>
    <phoneticPr fontId="3" type="noConversion"/>
  </si>
  <si>
    <t>2021년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</si>
</sst>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);[Red]\(#,##0\)"/>
    <numFmt numFmtId="177" formatCode="h:mm;@"/>
    <numFmt numFmtId="178" formatCode="yyyy&quot;년&quot;\ m&quot;월&quot;\ d&quot;일&quot;"/>
    <numFmt numFmtId="179" formatCode="_-* #,##0.0_-;\-* #,##0.0_-;_-* &quot;-&quot;_-;_-@_-"/>
  </numFmts>
  <fonts count="1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sz val="10"/>
      <name val="맑은 고딕"/>
      <family val="3"/>
      <charset val="129"/>
    </font>
    <font>
      <sz val="1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</font>
    <font>
      <b/>
      <i/>
      <u/>
      <sz val="16"/>
      <color theme="1"/>
      <name val="돋움"/>
      <family val="3"/>
      <charset val="129"/>
    </font>
    <font>
      <i/>
      <sz val="1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center" vertical="center"/>
    </xf>
    <xf numFmtId="41" fontId="7" fillId="0" borderId="1" xfId="2" applyFont="1" applyBorder="1" applyAlignment="1">
      <alignment vertical="center"/>
    </xf>
    <xf numFmtId="41" fontId="7" fillId="0" borderId="1" xfId="2" applyFont="1" applyFill="1" applyBorder="1" applyAlignment="1">
      <alignment horizontal="center" vertical="center"/>
    </xf>
    <xf numFmtId="41" fontId="5" fillId="0" borderId="1" xfId="2" applyFont="1" applyFill="1" applyBorder="1" applyAlignment="1">
      <alignment horizontal="center" vertical="center"/>
    </xf>
    <xf numFmtId="0" fontId="9" fillId="0" borderId="0" xfId="1" applyFont="1" applyAlignment="1">
      <alignment vertical="center"/>
    </xf>
    <xf numFmtId="178" fontId="5" fillId="0" borderId="0" xfId="1" applyNumberFormat="1" applyFont="1" applyAlignment="1">
      <alignment horizontal="center" vertical="center"/>
    </xf>
    <xf numFmtId="9" fontId="5" fillId="0" borderId="4" xfId="1" applyNumberFormat="1" applyFont="1" applyBorder="1" applyAlignment="1">
      <alignment horizontal="center" vertical="center"/>
    </xf>
    <xf numFmtId="41" fontId="5" fillId="0" borderId="1" xfId="2" applyFont="1" applyBorder="1" applyAlignment="1">
      <alignment vertical="center"/>
    </xf>
    <xf numFmtId="41" fontId="5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center" vertical="center" wrapText="1"/>
    </xf>
    <xf numFmtId="9" fontId="5" fillId="0" borderId="1" xfId="6" applyFont="1" applyBorder="1" applyAlignment="1">
      <alignment horizontal="center" vertical="center"/>
    </xf>
    <xf numFmtId="0" fontId="11" fillId="0" borderId="1" xfId="4" applyFont="1" applyBorder="1" applyAlignment="1">
      <alignment horizontal="center" vertical="center"/>
    </xf>
    <xf numFmtId="0" fontId="11" fillId="0" borderId="1" xfId="5" applyFont="1" applyBorder="1" applyAlignment="1">
      <alignment horizontal="center" vertical="center"/>
    </xf>
    <xf numFmtId="41" fontId="11" fillId="0" borderId="1" xfId="2" applyFont="1" applyFill="1" applyBorder="1" applyAlignment="1">
      <alignment horizontal="right" vertical="center"/>
    </xf>
    <xf numFmtId="58" fontId="5" fillId="0" borderId="1" xfId="1" applyNumberFormat="1" applyFont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right" vertical="center"/>
    </xf>
    <xf numFmtId="9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horizontal="left" vertical="center"/>
    </xf>
    <xf numFmtId="177" fontId="5" fillId="0" borderId="1" xfId="1" applyNumberFormat="1" applyFont="1" applyBorder="1" applyAlignment="1">
      <alignment horizontal="center" vertical="center"/>
    </xf>
    <xf numFmtId="18" fontId="5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/>
    </xf>
    <xf numFmtId="14" fontId="5" fillId="0" borderId="1" xfId="1" applyNumberFormat="1" applyFont="1" applyBorder="1" applyAlignment="1">
      <alignment horizontal="center" vertical="center"/>
    </xf>
    <xf numFmtId="176" fontId="5" fillId="0" borderId="1" xfId="1" applyNumberFormat="1" applyFont="1" applyBorder="1" applyAlignment="1">
      <alignment horizontal="center" vertical="center"/>
    </xf>
    <xf numFmtId="0" fontId="13" fillId="0" borderId="1" xfId="4" applyFont="1" applyBorder="1" applyAlignment="1">
      <alignment horizontal="center" vertical="center"/>
    </xf>
    <xf numFmtId="41" fontId="11" fillId="0" borderId="0" xfId="2" applyFont="1" applyFill="1" applyBorder="1" applyAlignment="1">
      <alignment horizontal="right" vertical="center"/>
    </xf>
    <xf numFmtId="0" fontId="15" fillId="3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7" applyNumberFormat="1" applyFont="1" applyBorder="1">
      <alignment vertical="center"/>
    </xf>
    <xf numFmtId="14" fontId="0" fillId="0" borderId="0" xfId="0" applyNumberFormat="1">
      <alignment vertical="center"/>
    </xf>
    <xf numFmtId="0" fontId="11" fillId="0" borderId="0" xfId="4" applyFont="1" applyAlignment="1">
      <alignment horizontal="center" vertical="center"/>
    </xf>
    <xf numFmtId="58" fontId="5" fillId="0" borderId="0" xfId="1" applyNumberFormat="1" applyFont="1" applyAlignment="1">
      <alignment horizontal="center" vertical="center"/>
    </xf>
    <xf numFmtId="0" fontId="13" fillId="0" borderId="0" xfId="4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</cellXfs>
  <cellStyles count="8">
    <cellStyle name="백분율 2" xfId="6" xr:uid="{00000000-0005-0000-0000-000000000000}"/>
    <cellStyle name="쉼표 [0]" xfId="7" builtinId="6"/>
    <cellStyle name="쉼표 [0] 2" xfId="2" xr:uid="{00000000-0005-0000-0000-000002000000}"/>
    <cellStyle name="통화 [0] 2" xfId="3" xr:uid="{00000000-0005-0000-0000-000003000000}"/>
    <cellStyle name="표준" xfId="0" builtinId="0"/>
    <cellStyle name="표준 2" xfId="1" xr:uid="{00000000-0005-0000-0000-000005000000}"/>
    <cellStyle name="표준_Sheet3" xfId="5" xr:uid="{00000000-0005-0000-0000-000006000000}"/>
    <cellStyle name="표준_건물임대" xfId="4" xr:uid="{00000000-0005-0000-0000-000007000000}"/>
  </cellStyles>
  <dxfs count="1"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i="1" u="sng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 sz="1400" i="1" u="sng">
                <a:latin typeface="궁서체" panose="02030609000101010101" pitchFamily="17" charset="-127"/>
                <a:ea typeface="궁서체" panose="02030609000101010101" pitchFamily="17" charset="-127"/>
              </a:rPr>
              <a:t>연도별 교통사고 건수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차트작업!$A$5</c:f>
              <c:strCache>
                <c:ptCount val="1"/>
                <c:pt idx="0">
                  <c:v>2021년</c:v>
                </c:pt>
              </c:strCache>
            </c:strRef>
          </c:tx>
          <c:invertIfNegative val="0"/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차트작업!$B$5:$F$5</c:f>
              <c:numCache>
                <c:formatCode>_(* #,##0_);_(* \(#,##0\);_(* "-"_);_(@_)</c:formatCode>
                <c:ptCount val="5"/>
                <c:pt idx="0">
                  <c:v>215822</c:v>
                </c:pt>
                <c:pt idx="1">
                  <c:v>5870</c:v>
                </c:pt>
                <c:pt idx="2">
                  <c:v>338962</c:v>
                </c:pt>
                <c:pt idx="3">
                  <c:v>124182</c:v>
                </c:pt>
                <c:pt idx="4">
                  <c:v>205222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D-427F-9DB1-74136CA6DA52}"/>
            </c:ext>
          </c:extLst>
        </c:ser>
        <c:ser>
          <c:idx val="2"/>
          <c:order val="1"/>
          <c:tx>
            <c:strRef>
              <c:f>차트작업!$A$6</c:f>
              <c:strCache>
                <c:ptCount val="1"/>
                <c:pt idx="0">
                  <c:v>2022년</c:v>
                </c:pt>
              </c:strCache>
            </c:strRef>
          </c:tx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47-4308-A494-6D39505012C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차트작업!$B$6:$F$6</c:f>
              <c:numCache>
                <c:formatCode>_(* #,##0_);_(* \(#,##0\);_(* "-"_);_(@_)</c:formatCode>
                <c:ptCount val="5"/>
                <c:pt idx="0">
                  <c:v>231990</c:v>
                </c:pt>
                <c:pt idx="1">
                  <c:v>5838</c:v>
                </c:pt>
                <c:pt idx="2">
                  <c:v>361875</c:v>
                </c:pt>
                <c:pt idx="3">
                  <c:v>126378</c:v>
                </c:pt>
                <c:pt idx="4">
                  <c:v>223992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D-427F-9DB1-74136CA6DA52}"/>
            </c:ext>
          </c:extLst>
        </c:ser>
        <c:ser>
          <c:idx val="3"/>
          <c:order val="2"/>
          <c:tx>
            <c:strRef>
              <c:f>차트작업!$A$7</c:f>
              <c:strCache>
                <c:ptCount val="1"/>
                <c:pt idx="0">
                  <c:v>2023년</c:v>
                </c:pt>
              </c:strCache>
            </c:strRef>
          </c:tx>
          <c:invertIfNegative val="0"/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차트작업!$B$7:$F$7</c:f>
              <c:numCache>
                <c:formatCode>_(* #,##0_);_(* \(#,##0\);_(* "-"_);_(@_)</c:formatCode>
                <c:ptCount val="5"/>
                <c:pt idx="0">
                  <c:v>226878</c:v>
                </c:pt>
                <c:pt idx="1">
                  <c:v>5505</c:v>
                </c:pt>
                <c:pt idx="2">
                  <c:v>352458</c:v>
                </c:pt>
                <c:pt idx="3">
                  <c:v>116902</c:v>
                </c:pt>
                <c:pt idx="4">
                  <c:v>223665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3D-427F-9DB1-74136CA6D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750080"/>
        <c:axId val="122751616"/>
      </c:barChart>
      <c:catAx>
        <c:axId val="122750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2751616"/>
        <c:crosses val="autoZero"/>
        <c:auto val="1"/>
        <c:lblAlgn val="ctr"/>
        <c:lblOffset val="100"/>
        <c:noMultiLvlLbl val="0"/>
      </c:catAx>
      <c:valAx>
        <c:axId val="122751616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227500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effectLst>
      <a:outerShdw blurRad="50800" dist="38100" algn="l" rotWithShape="0">
        <a:prstClr val="black">
          <a:alpha val="40000"/>
        </a:prstClr>
      </a:outerShdw>
    </a:effectLst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[0]!실수령액" textlink="">
      <xdr:nvSpPr>
        <xdr:cNvPr id="4" name="타원 1">
          <a:extLst>
            <a:ext uri="{FF2B5EF4-FFF2-40B4-BE49-F238E27FC236}">
              <a16:creationId xmlns:a16="http://schemas.microsoft.com/office/drawing/2014/main" id="{A6282A27-6B51-5122-0A78-CADC8B69E235}"/>
            </a:ext>
          </a:extLst>
        </xdr:cNvPr>
        <xdr:cNvSpPr/>
      </xdr:nvSpPr>
      <xdr:spPr>
        <a:xfrm>
          <a:off x="685800" y="2305050"/>
          <a:ext cx="1838325" cy="419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실수령액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[0]!서식지정" textlink="">
      <xdr:nvSpPr>
        <xdr:cNvPr id="5" name="직사각형 1">
          <a:extLst>
            <a:ext uri="{FF2B5EF4-FFF2-40B4-BE49-F238E27FC236}">
              <a16:creationId xmlns:a16="http://schemas.microsoft.com/office/drawing/2014/main" id="{DD3E4F46-4C5F-BAE5-C649-240006FA4795}"/>
            </a:ext>
          </a:extLst>
        </xdr:cNvPr>
        <xdr:cNvSpPr/>
      </xdr:nvSpPr>
      <xdr:spPr>
        <a:xfrm>
          <a:off x="2524125" y="2305050"/>
          <a:ext cx="1704975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서식지정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28</xdr:row>
      <xdr:rowOff>0</xdr:rowOff>
    </xdr:to>
    <xdr:graphicFrame macro="">
      <xdr:nvGraphicFramePr>
        <xdr:cNvPr id="3" name="차트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1" xr16:uid="{00000000-0016-0000-0200-000000000000}" autoFormatId="16" applyNumberFormats="0" applyBorderFormats="0" applyFontFormats="1" applyPatternFormats="1" applyAlignmentFormats="0" applyWidthHeightFormats="0">
  <queryTableRefresh nextId="9">
    <queryTableFields count="2">
      <queryTableField id="7" name="입금금액"/>
      <queryTableField id="8" dataBound="0" fillFormulas="1"/>
    </queryTableFields>
    <queryTableDeletedFields count="6">
      <deletedField name="코드"/>
      <deletedField name="날짜"/>
      <deletedField name="제품명"/>
      <deletedField name="구분"/>
      <deletedField name="제품단가"/>
      <deletedField name="수량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6.5"/>
  <cols>
    <col min="1" max="1" width="12.875" style="1" customWidth="1"/>
    <col min="2" max="2" width="8.5" style="1" bestFit="1" customWidth="1"/>
    <col min="3" max="3" width="10.375" style="1" bestFit="1" customWidth="1"/>
    <col min="4" max="4" width="9.25" style="1" bestFit="1" customWidth="1"/>
    <col min="5" max="5" width="7.375" style="1" bestFit="1" customWidth="1"/>
    <col min="6" max="6" width="11.875" style="1" customWidth="1"/>
    <col min="7" max="7" width="9.25" style="1" bestFit="1" customWidth="1"/>
    <col min="8" max="16384" width="9" style="1"/>
  </cols>
  <sheetData>
    <row r="1" spans="1:6">
      <c r="A1" s="1" t="s">
        <v>158</v>
      </c>
    </row>
    <row r="2" spans="1:6" ht="14.25" customHeight="1"/>
    <row r="3" spans="1:6">
      <c r="A3" s="1" t="s">
        <v>160</v>
      </c>
      <c r="B3" s="1" t="s">
        <v>161</v>
      </c>
      <c r="C3" s="1" t="s">
        <v>162</v>
      </c>
      <c r="D3" s="1" t="s">
        <v>163</v>
      </c>
      <c r="E3" s="1" t="s">
        <v>164</v>
      </c>
      <c r="F3" s="1" t="s">
        <v>165</v>
      </c>
    </row>
    <row r="4" spans="1:6">
      <c r="A4" s="1" t="s">
        <v>166</v>
      </c>
      <c r="B4" s="1">
        <v>430000</v>
      </c>
      <c r="C4" s="1">
        <v>100</v>
      </c>
      <c r="D4" s="1">
        <v>80</v>
      </c>
      <c r="E4" s="1">
        <v>0.8</v>
      </c>
      <c r="F4" s="1">
        <v>50</v>
      </c>
    </row>
    <row r="5" spans="1:6">
      <c r="A5" s="1" t="s">
        <v>167</v>
      </c>
      <c r="B5" s="1">
        <v>220000</v>
      </c>
      <c r="C5" s="1">
        <v>80</v>
      </c>
      <c r="D5" s="1">
        <v>65</v>
      </c>
      <c r="E5" s="1">
        <v>0.8</v>
      </c>
      <c r="F5" s="1">
        <v>40</v>
      </c>
    </row>
    <row r="6" spans="1:6">
      <c r="A6" s="1" t="s">
        <v>168</v>
      </c>
      <c r="B6" s="1">
        <v>850000</v>
      </c>
      <c r="C6" s="1">
        <v>300</v>
      </c>
      <c r="D6" s="1">
        <v>46</v>
      </c>
      <c r="E6" s="1">
        <v>0.15</v>
      </c>
      <c r="F6" s="1">
        <v>450</v>
      </c>
    </row>
    <row r="7" spans="1:6">
      <c r="A7" s="1" t="s">
        <v>169</v>
      </c>
      <c r="B7" s="1">
        <v>256000</v>
      </c>
      <c r="C7" s="1">
        <v>250</v>
      </c>
      <c r="D7" s="1">
        <v>130</v>
      </c>
      <c r="E7" s="1">
        <v>0.52</v>
      </c>
      <c r="F7" s="1">
        <v>125</v>
      </c>
    </row>
    <row r="8" spans="1:6">
      <c r="A8" s="1" t="s">
        <v>170</v>
      </c>
      <c r="B8" s="1">
        <v>95000</v>
      </c>
      <c r="C8" s="1">
        <v>120</v>
      </c>
      <c r="D8" s="1">
        <v>15</v>
      </c>
      <c r="E8" s="1">
        <v>0.13</v>
      </c>
      <c r="F8" s="1">
        <v>180</v>
      </c>
    </row>
    <row r="9" spans="1:6">
      <c r="A9" s="1" t="s">
        <v>171</v>
      </c>
      <c r="B9" s="1">
        <v>932000</v>
      </c>
      <c r="C9" s="1">
        <v>150</v>
      </c>
      <c r="D9" s="1">
        <v>56</v>
      </c>
      <c r="E9" s="1">
        <v>0.37</v>
      </c>
      <c r="F9" s="1">
        <v>150</v>
      </c>
    </row>
    <row r="10" spans="1:6">
      <c r="A10" s="1" t="s">
        <v>172</v>
      </c>
      <c r="B10" s="1">
        <v>110000</v>
      </c>
      <c r="C10" s="1">
        <v>90</v>
      </c>
      <c r="D10" s="1">
        <v>15</v>
      </c>
      <c r="E10" s="1">
        <v>0.16</v>
      </c>
      <c r="F10" s="1">
        <v>135</v>
      </c>
    </row>
  </sheetData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4"/>
  <sheetViews>
    <sheetView workbookViewId="0">
      <selection sqref="A1:F1"/>
    </sheetView>
  </sheetViews>
  <sheetFormatPr defaultRowHeight="16.5"/>
  <cols>
    <col min="1" max="1" width="10.875" customWidth="1"/>
    <col min="2" max="2" width="12.875" bestFit="1" customWidth="1"/>
    <col min="3" max="3" width="12" customWidth="1"/>
    <col min="4" max="4" width="11.875" bestFit="1" customWidth="1"/>
    <col min="5" max="5" width="10.625" customWidth="1"/>
    <col min="6" max="6" width="14.375" bestFit="1" customWidth="1"/>
  </cols>
  <sheetData>
    <row r="1" spans="1:6" ht="20.25">
      <c r="A1" s="37" t="s">
        <v>185</v>
      </c>
      <c r="B1" s="37"/>
      <c r="C1" s="37"/>
      <c r="D1" s="37"/>
      <c r="E1" s="37"/>
      <c r="F1" s="37"/>
    </row>
    <row r="3" spans="1:6">
      <c r="F3" s="33">
        <v>45382</v>
      </c>
    </row>
    <row r="4" spans="1:6">
      <c r="A4" s="38" t="s">
        <v>109</v>
      </c>
      <c r="B4" s="38" t="s">
        <v>110</v>
      </c>
      <c r="C4" s="38" t="s">
        <v>111</v>
      </c>
      <c r="D4" s="38"/>
      <c r="E4" s="38"/>
      <c r="F4" s="38" t="s">
        <v>112</v>
      </c>
    </row>
    <row r="5" spans="1:6">
      <c r="A5" s="38"/>
      <c r="B5" s="38"/>
      <c r="C5" s="31" t="s">
        <v>113</v>
      </c>
      <c r="D5" s="31" t="s">
        <v>114</v>
      </c>
      <c r="E5" s="31" t="s">
        <v>115</v>
      </c>
      <c r="F5" s="38"/>
    </row>
    <row r="6" spans="1:6">
      <c r="A6" s="30" t="s">
        <v>19</v>
      </c>
      <c r="B6" s="30" t="s">
        <v>116</v>
      </c>
      <c r="C6" s="31">
        <v>1254</v>
      </c>
      <c r="D6" s="31">
        <v>1257</v>
      </c>
      <c r="E6" s="31">
        <v>3100</v>
      </c>
      <c r="F6" s="32">
        <f>AVERAGE(C6:E6)</f>
        <v>1870.3333333333333</v>
      </c>
    </row>
    <row r="7" spans="1:6">
      <c r="A7" s="30" t="s">
        <v>117</v>
      </c>
      <c r="B7" s="30" t="s">
        <v>116</v>
      </c>
      <c r="C7" s="31">
        <v>2351</v>
      </c>
      <c r="D7" s="31">
        <v>1358</v>
      </c>
      <c r="E7" s="31">
        <v>2400</v>
      </c>
      <c r="F7" s="32">
        <f t="shared" ref="F7:F14" si="0">AVERAGE(C7:E7)</f>
        <v>2036.3333333333333</v>
      </c>
    </row>
    <row r="8" spans="1:6">
      <c r="A8" s="30" t="s">
        <v>118</v>
      </c>
      <c r="B8" s="30" t="s">
        <v>119</v>
      </c>
      <c r="C8" s="31">
        <v>1000</v>
      </c>
      <c r="D8" s="31">
        <v>2658</v>
      </c>
      <c r="E8" s="31">
        <v>2511</v>
      </c>
      <c r="F8" s="32">
        <f t="shared" si="0"/>
        <v>2056.3333333333335</v>
      </c>
    </row>
    <row r="9" spans="1:6">
      <c r="A9" s="30" t="s">
        <v>120</v>
      </c>
      <c r="B9" s="30" t="s">
        <v>121</v>
      </c>
      <c r="C9" s="31">
        <v>2348</v>
      </c>
      <c r="D9" s="31">
        <v>2177</v>
      </c>
      <c r="E9" s="31">
        <v>2375</v>
      </c>
      <c r="F9" s="32">
        <f t="shared" si="0"/>
        <v>2300</v>
      </c>
    </row>
    <row r="10" spans="1:6">
      <c r="A10" s="30" t="s">
        <v>122</v>
      </c>
      <c r="B10" s="30" t="s">
        <v>116</v>
      </c>
      <c r="C10" s="31">
        <v>1658</v>
      </c>
      <c r="D10" s="31">
        <v>3111</v>
      </c>
      <c r="E10" s="31">
        <v>2681</v>
      </c>
      <c r="F10" s="32">
        <f t="shared" si="0"/>
        <v>2483.3333333333335</v>
      </c>
    </row>
    <row r="11" spans="1:6">
      <c r="A11" s="30" t="s">
        <v>123</v>
      </c>
      <c r="B11" s="30" t="s">
        <v>119</v>
      </c>
      <c r="C11" s="31">
        <v>3521</v>
      </c>
      <c r="D11" s="31">
        <v>2578</v>
      </c>
      <c r="E11" s="31">
        <v>3810</v>
      </c>
      <c r="F11" s="32">
        <f t="shared" si="0"/>
        <v>3303</v>
      </c>
    </row>
    <row r="12" spans="1:6">
      <c r="A12" s="30" t="s">
        <v>124</v>
      </c>
      <c r="B12" s="30" t="s">
        <v>119</v>
      </c>
      <c r="C12" s="31">
        <v>2485</v>
      </c>
      <c r="D12" s="31">
        <v>2469</v>
      </c>
      <c r="E12" s="31">
        <v>2698</v>
      </c>
      <c r="F12" s="32">
        <f t="shared" si="0"/>
        <v>2550.6666666666665</v>
      </c>
    </row>
    <row r="13" spans="1:6">
      <c r="A13" s="30" t="s">
        <v>125</v>
      </c>
      <c r="B13" s="30" t="s">
        <v>121</v>
      </c>
      <c r="C13" s="31">
        <v>3214</v>
      </c>
      <c r="D13" s="31">
        <v>2938</v>
      </c>
      <c r="E13" s="31">
        <v>1257</v>
      </c>
      <c r="F13" s="32">
        <f t="shared" si="0"/>
        <v>2469.6666666666665</v>
      </c>
    </row>
    <row r="14" spans="1:6">
      <c r="A14" s="30" t="s">
        <v>126</v>
      </c>
      <c r="B14" s="30" t="s">
        <v>121</v>
      </c>
      <c r="C14" s="31">
        <v>1111</v>
      </c>
      <c r="D14" s="31">
        <v>1685</v>
      </c>
      <c r="E14" s="31">
        <v>1874</v>
      </c>
      <c r="F14" s="32">
        <f t="shared" si="0"/>
        <v>1556.6666666666667</v>
      </c>
    </row>
  </sheetData>
  <mergeCells count="5">
    <mergeCell ref="A1:F1"/>
    <mergeCell ref="F4:F5"/>
    <mergeCell ref="C4:E4"/>
    <mergeCell ref="B4:B5"/>
    <mergeCell ref="A4:A5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6"/>
  <sheetViews>
    <sheetView workbookViewId="0">
      <selection sqref="A1:G1"/>
    </sheetView>
  </sheetViews>
  <sheetFormatPr defaultRowHeight="16.5"/>
  <cols>
    <col min="1" max="1" width="15.5" style="1" customWidth="1"/>
    <col min="2" max="2" width="9.375" style="1" customWidth="1"/>
    <col min="3" max="3" width="9.25" style="1" bestFit="1" customWidth="1"/>
    <col min="4" max="5" width="12" style="1" bestFit="1" customWidth="1"/>
    <col min="6" max="6" width="9.875" style="1" customWidth="1"/>
    <col min="7" max="7" width="12.875" style="1" bestFit="1" customWidth="1"/>
    <col min="8" max="16384" width="9" style="1"/>
  </cols>
  <sheetData>
    <row r="1" spans="1:7" ht="26.25">
      <c r="A1" s="39" t="s">
        <v>94</v>
      </c>
      <c r="B1" s="39"/>
      <c r="C1" s="39"/>
      <c r="D1" s="39"/>
      <c r="E1" s="39"/>
      <c r="F1" s="39"/>
      <c r="G1" s="39"/>
    </row>
    <row r="3" spans="1:7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</row>
    <row r="4" spans="1:7">
      <c r="A4" s="25">
        <v>45313</v>
      </c>
      <c r="B4" s="2" t="s">
        <v>95</v>
      </c>
      <c r="C4" s="2" t="s">
        <v>96</v>
      </c>
      <c r="D4" s="2" t="s">
        <v>97</v>
      </c>
      <c r="E4" s="26">
        <v>4000</v>
      </c>
      <c r="F4" s="2">
        <v>144</v>
      </c>
      <c r="G4" s="26">
        <v>576000</v>
      </c>
    </row>
    <row r="5" spans="1:7">
      <c r="A5" s="25">
        <v>45314</v>
      </c>
      <c r="B5" s="2" t="s">
        <v>95</v>
      </c>
      <c r="C5" s="2" t="s">
        <v>96</v>
      </c>
      <c r="D5" s="2" t="s">
        <v>7</v>
      </c>
      <c r="E5" s="26">
        <v>4000</v>
      </c>
      <c r="F5" s="2">
        <v>135</v>
      </c>
      <c r="G5" s="26">
        <v>540000</v>
      </c>
    </row>
    <row r="6" spans="1:7">
      <c r="A6" s="25">
        <v>45315</v>
      </c>
      <c r="B6" s="2" t="s">
        <v>95</v>
      </c>
      <c r="C6" s="2" t="s">
        <v>8</v>
      </c>
      <c r="D6" s="2" t="s">
        <v>7</v>
      </c>
      <c r="E6" s="26">
        <v>4000</v>
      </c>
      <c r="F6" s="2">
        <v>125</v>
      </c>
      <c r="G6" s="26">
        <v>500000</v>
      </c>
    </row>
    <row r="7" spans="1:7">
      <c r="A7" s="25">
        <v>45331</v>
      </c>
      <c r="B7" s="2" t="s">
        <v>98</v>
      </c>
      <c r="C7" s="2" t="s">
        <v>99</v>
      </c>
      <c r="D7" s="2" t="s">
        <v>100</v>
      </c>
      <c r="E7" s="26">
        <v>4500</v>
      </c>
      <c r="F7" s="2">
        <v>117</v>
      </c>
      <c r="G7" s="26">
        <v>526500</v>
      </c>
    </row>
    <row r="8" spans="1:7">
      <c r="A8" s="25">
        <v>45362</v>
      </c>
      <c r="B8" s="2" t="s">
        <v>98</v>
      </c>
      <c r="C8" s="2" t="s">
        <v>99</v>
      </c>
      <c r="D8" s="2" t="s">
        <v>101</v>
      </c>
      <c r="E8" s="26">
        <v>4500</v>
      </c>
      <c r="F8" s="2">
        <v>115</v>
      </c>
      <c r="G8" s="26">
        <v>517500</v>
      </c>
    </row>
    <row r="9" spans="1:7">
      <c r="A9" s="25">
        <v>45328</v>
      </c>
      <c r="B9" s="2" t="s">
        <v>102</v>
      </c>
      <c r="C9" s="2" t="s">
        <v>9</v>
      </c>
      <c r="D9" s="2" t="s">
        <v>7</v>
      </c>
      <c r="E9" s="26">
        <v>5500</v>
      </c>
      <c r="F9" s="2">
        <v>124</v>
      </c>
      <c r="G9" s="26">
        <v>682000</v>
      </c>
    </row>
    <row r="10" spans="1:7">
      <c r="A10" s="25">
        <v>45359</v>
      </c>
      <c r="B10" s="2" t="s">
        <v>103</v>
      </c>
      <c r="C10" s="2" t="s">
        <v>104</v>
      </c>
      <c r="D10" s="2" t="s">
        <v>10</v>
      </c>
      <c r="E10" s="26">
        <v>5500</v>
      </c>
      <c r="F10" s="2">
        <v>133</v>
      </c>
      <c r="G10" s="26">
        <v>731500</v>
      </c>
    </row>
    <row r="11" spans="1:7">
      <c r="A11" s="25">
        <v>45391</v>
      </c>
      <c r="B11" s="2" t="s">
        <v>105</v>
      </c>
      <c r="C11" s="2" t="s">
        <v>8</v>
      </c>
      <c r="D11" s="2" t="s">
        <v>100</v>
      </c>
      <c r="E11" s="26">
        <v>4000</v>
      </c>
      <c r="F11" s="2">
        <v>145</v>
      </c>
      <c r="G11" s="26">
        <v>580000</v>
      </c>
    </row>
    <row r="12" spans="1:7">
      <c r="A12" s="25">
        <v>45422</v>
      </c>
      <c r="B12" s="2" t="s">
        <v>102</v>
      </c>
      <c r="C12" s="2" t="s">
        <v>106</v>
      </c>
      <c r="D12" s="2" t="s">
        <v>10</v>
      </c>
      <c r="E12" s="26">
        <v>5500</v>
      </c>
      <c r="F12" s="2">
        <v>135</v>
      </c>
      <c r="G12" s="26">
        <v>742500</v>
      </c>
    </row>
    <row r="13" spans="1:7">
      <c r="A13" s="25">
        <v>45425</v>
      </c>
      <c r="B13" s="2" t="s">
        <v>107</v>
      </c>
      <c r="C13" s="2" t="s">
        <v>8</v>
      </c>
      <c r="D13" s="2" t="s">
        <v>7</v>
      </c>
      <c r="E13" s="26">
        <v>4000</v>
      </c>
      <c r="F13" s="2">
        <v>166</v>
      </c>
      <c r="G13" s="26">
        <v>664000</v>
      </c>
    </row>
    <row r="14" spans="1:7">
      <c r="A14" s="25">
        <v>45454</v>
      </c>
      <c r="B14" s="2" t="s">
        <v>98</v>
      </c>
      <c r="C14" s="2" t="s">
        <v>99</v>
      </c>
      <c r="D14" s="2" t="s">
        <v>100</v>
      </c>
      <c r="E14" s="26">
        <v>4500</v>
      </c>
      <c r="F14" s="2">
        <v>155</v>
      </c>
      <c r="G14" s="26">
        <v>697500</v>
      </c>
    </row>
    <row r="15" spans="1:7">
      <c r="A15" s="25">
        <v>45441</v>
      </c>
      <c r="B15" s="2" t="s">
        <v>102</v>
      </c>
      <c r="C15" s="2" t="s">
        <v>106</v>
      </c>
      <c r="D15" s="2" t="s">
        <v>10</v>
      </c>
      <c r="E15" s="26">
        <v>5500</v>
      </c>
      <c r="F15" s="2">
        <v>67</v>
      </c>
      <c r="G15" s="26">
        <v>368500</v>
      </c>
    </row>
    <row r="16" spans="1:7">
      <c r="A16" s="25">
        <v>45447</v>
      </c>
      <c r="B16" s="2" t="s">
        <v>107</v>
      </c>
      <c r="C16" s="2" t="s">
        <v>108</v>
      </c>
      <c r="D16" s="2" t="s">
        <v>100</v>
      </c>
      <c r="E16" s="26">
        <v>4000</v>
      </c>
      <c r="F16" s="2">
        <v>54</v>
      </c>
      <c r="G16" s="26">
        <v>216000</v>
      </c>
    </row>
  </sheetData>
  <mergeCells count="1">
    <mergeCell ref="A1:G1"/>
  </mergeCells>
  <phoneticPr fontId="2" type="noConversion"/>
  <conditionalFormatting sqref="A4:G16">
    <cfRule type="expression" dxfId="0" priority="1">
      <formula>AND($E4&gt;=4500,$G4&gt;=600000)</formula>
    </cfRule>
  </conditionalFormatting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3"/>
  <sheetViews>
    <sheetView workbookViewId="0"/>
  </sheetViews>
  <sheetFormatPr defaultRowHeight="16.5"/>
  <cols>
    <col min="1" max="2" width="14.25" style="1" bestFit="1" customWidth="1"/>
    <col min="3" max="3" width="13" style="1" bestFit="1" customWidth="1"/>
    <col min="4" max="4" width="13.125" style="1" bestFit="1" customWidth="1"/>
    <col min="5" max="5" width="4.25" style="1" customWidth="1"/>
    <col min="6" max="6" width="9.25" style="1" bestFit="1" customWidth="1"/>
    <col min="7" max="7" width="8" style="1" customWidth="1"/>
    <col min="8" max="10" width="13" style="1" bestFit="1" customWidth="1"/>
    <col min="11" max="11" width="8" style="1" customWidth="1"/>
    <col min="12" max="16384" width="9" style="1"/>
  </cols>
  <sheetData>
    <row r="1" spans="1:11">
      <c r="A1" s="1" t="s">
        <v>20</v>
      </c>
      <c r="F1" s="1" t="s">
        <v>21</v>
      </c>
    </row>
    <row r="2" spans="1:11">
      <c r="A2" s="2" t="s">
        <v>22</v>
      </c>
      <c r="B2" s="2" t="s">
        <v>23</v>
      </c>
      <c r="C2" s="2" t="s">
        <v>24</v>
      </c>
      <c r="D2" s="17" t="s">
        <v>25</v>
      </c>
      <c r="F2" s="2" t="s">
        <v>26</v>
      </c>
      <c r="G2" s="2" t="s">
        <v>27</v>
      </c>
      <c r="H2" s="2" t="s">
        <v>28</v>
      </c>
      <c r="I2" s="2" t="s">
        <v>29</v>
      </c>
      <c r="J2" s="2" t="s">
        <v>30</v>
      </c>
      <c r="K2" s="17" t="s">
        <v>31</v>
      </c>
    </row>
    <row r="3" spans="1:11">
      <c r="A3" s="2" t="s">
        <v>32</v>
      </c>
      <c r="B3" s="18">
        <v>24578500</v>
      </c>
      <c r="C3" s="19">
        <v>1400000</v>
      </c>
      <c r="D3" s="19">
        <f>TRUNC(B3*VLOOKUP(B3,$A$12:$B$14,2,TRUE)-C3,-1)</f>
        <v>2286770</v>
      </c>
      <c r="F3" s="2" t="s">
        <v>33</v>
      </c>
      <c r="G3" s="2">
        <v>90</v>
      </c>
      <c r="H3" s="2">
        <v>50</v>
      </c>
      <c r="I3" s="2">
        <v>80</v>
      </c>
      <c r="J3" s="2">
        <f>G3+H3+I3</f>
        <v>220</v>
      </c>
      <c r="K3" s="2">
        <f>CHOOSE(_xlfn.RANK.EQ(J3,$J$3:$J$8,0),1,2,3,"","","")</f>
        <v>3</v>
      </c>
    </row>
    <row r="4" spans="1:11">
      <c r="A4" s="2" t="s">
        <v>34</v>
      </c>
      <c r="B4" s="18">
        <v>36498520</v>
      </c>
      <c r="C4" s="19">
        <v>2900000</v>
      </c>
      <c r="D4" s="19">
        <f t="shared" ref="D4:D8" si="0">TRUNC(B4*VLOOKUP(B4,$A$12:$B$14,2,TRUE)-C4,-1)</f>
        <v>2574770</v>
      </c>
      <c r="F4" s="2" t="s">
        <v>35</v>
      </c>
      <c r="G4" s="2">
        <v>70</v>
      </c>
      <c r="H4" s="2">
        <v>80</v>
      </c>
      <c r="I4" s="2">
        <v>50</v>
      </c>
      <c r="J4" s="2">
        <f t="shared" ref="J4:J8" si="1">G4+H4+I4</f>
        <v>200</v>
      </c>
      <c r="K4" s="2" t="str">
        <f t="shared" ref="K4:K8" si="2">CHOOSE(_xlfn.RANK.EQ(J4,$J$3:$J$8,0),1,2,3,"","","")</f>
        <v/>
      </c>
    </row>
    <row r="5" spans="1:11">
      <c r="A5" s="2" t="s">
        <v>36</v>
      </c>
      <c r="B5" s="18">
        <v>36548720</v>
      </c>
      <c r="C5" s="19">
        <v>2900000</v>
      </c>
      <c r="D5" s="19">
        <f t="shared" si="0"/>
        <v>2582300</v>
      </c>
      <c r="F5" s="2" t="s">
        <v>37</v>
      </c>
      <c r="G5" s="2">
        <v>100</v>
      </c>
      <c r="H5" s="2">
        <v>90</v>
      </c>
      <c r="I5" s="2">
        <v>90</v>
      </c>
      <c r="J5" s="2">
        <f t="shared" si="1"/>
        <v>280</v>
      </c>
      <c r="K5" s="2">
        <f t="shared" si="2"/>
        <v>1</v>
      </c>
    </row>
    <row r="6" spans="1:11">
      <c r="A6" s="2" t="s">
        <v>38</v>
      </c>
      <c r="B6" s="18">
        <v>48685000</v>
      </c>
      <c r="C6" s="19">
        <v>5800000</v>
      </c>
      <c r="D6" s="19">
        <f t="shared" si="0"/>
        <v>3937000</v>
      </c>
      <c r="F6" s="2" t="s">
        <v>39</v>
      </c>
      <c r="G6" s="2">
        <v>50</v>
      </c>
      <c r="H6" s="2">
        <v>100</v>
      </c>
      <c r="I6" s="2">
        <v>100</v>
      </c>
      <c r="J6" s="2">
        <f t="shared" si="1"/>
        <v>250</v>
      </c>
      <c r="K6" s="2">
        <f t="shared" si="2"/>
        <v>2</v>
      </c>
    </row>
    <row r="7" spans="1:11">
      <c r="A7" s="2" t="s">
        <v>40</v>
      </c>
      <c r="B7" s="18">
        <v>61572700</v>
      </c>
      <c r="C7" s="19">
        <v>9000000</v>
      </c>
      <c r="D7" s="19">
        <f t="shared" si="0"/>
        <v>6393170</v>
      </c>
      <c r="F7" s="2" t="s">
        <v>41</v>
      </c>
      <c r="G7" s="2">
        <v>80</v>
      </c>
      <c r="H7" s="2">
        <v>70</v>
      </c>
      <c r="I7" s="2">
        <v>60</v>
      </c>
      <c r="J7" s="2">
        <f t="shared" si="1"/>
        <v>210</v>
      </c>
      <c r="K7" s="2" t="str">
        <f t="shared" si="2"/>
        <v/>
      </c>
    </row>
    <row r="8" spans="1:11">
      <c r="A8" s="2" t="s">
        <v>42</v>
      </c>
      <c r="B8" s="4">
        <v>48357100</v>
      </c>
      <c r="C8" s="19">
        <v>5800000</v>
      </c>
      <c r="D8" s="19">
        <f t="shared" si="0"/>
        <v>3871420</v>
      </c>
      <c r="F8" s="2" t="s">
        <v>43</v>
      </c>
      <c r="G8" s="2">
        <v>60</v>
      </c>
      <c r="H8" s="2">
        <v>60</v>
      </c>
      <c r="I8" s="2">
        <v>70</v>
      </c>
      <c r="J8" s="2">
        <f t="shared" si="1"/>
        <v>190</v>
      </c>
      <c r="K8" s="2" t="str">
        <f t="shared" si="2"/>
        <v/>
      </c>
    </row>
    <row r="10" spans="1:11">
      <c r="A10" s="1" t="s">
        <v>44</v>
      </c>
    </row>
    <row r="11" spans="1:11">
      <c r="A11" s="2" t="s">
        <v>23</v>
      </c>
      <c r="B11" s="2" t="s">
        <v>45</v>
      </c>
    </row>
    <row r="12" spans="1:11">
      <c r="A12" s="3">
        <v>20000000</v>
      </c>
      <c r="B12" s="20">
        <v>0.15</v>
      </c>
    </row>
    <row r="13" spans="1:11">
      <c r="A13" s="3">
        <v>40000000</v>
      </c>
      <c r="B13" s="20">
        <v>0.2</v>
      </c>
      <c r="F13" s="1" t="s">
        <v>46</v>
      </c>
    </row>
    <row r="14" spans="1:11">
      <c r="A14" s="3">
        <v>60000000</v>
      </c>
      <c r="B14" s="20">
        <v>0.25</v>
      </c>
      <c r="F14" s="2" t="s">
        <v>47</v>
      </c>
      <c r="G14" s="2" t="s">
        <v>48</v>
      </c>
      <c r="H14" s="2" t="s">
        <v>49</v>
      </c>
      <c r="I14" s="2" t="s">
        <v>50</v>
      </c>
      <c r="J14" s="2" t="s">
        <v>51</v>
      </c>
    </row>
    <row r="15" spans="1:11">
      <c r="F15" s="2" t="s">
        <v>52</v>
      </c>
      <c r="G15" s="2" t="s">
        <v>53</v>
      </c>
      <c r="H15" s="18">
        <v>1600000</v>
      </c>
      <c r="I15" s="18">
        <v>600000</v>
      </c>
      <c r="J15" s="18">
        <f>H15+I15</f>
        <v>2200000</v>
      </c>
    </row>
    <row r="16" spans="1:11">
      <c r="A16" s="21" t="s">
        <v>54</v>
      </c>
      <c r="B16" s="21"/>
      <c r="F16" s="2" t="s">
        <v>55</v>
      </c>
      <c r="G16" s="2" t="s">
        <v>56</v>
      </c>
      <c r="H16" s="18">
        <v>1800000</v>
      </c>
      <c r="I16" s="18">
        <v>750000</v>
      </c>
      <c r="J16" s="18">
        <f t="shared" ref="J16:J22" si="3">H16+I16</f>
        <v>2550000</v>
      </c>
    </row>
    <row r="17" spans="1:10">
      <c r="A17" s="2" t="s">
        <v>57</v>
      </c>
      <c r="B17" s="2" t="s">
        <v>58</v>
      </c>
      <c r="C17" s="2" t="s">
        <v>59</v>
      </c>
      <c r="D17" s="17" t="s">
        <v>60</v>
      </c>
      <c r="F17" s="2" t="s">
        <v>61</v>
      </c>
      <c r="G17" s="2" t="s">
        <v>56</v>
      </c>
      <c r="H17" s="18">
        <v>2000000</v>
      </c>
      <c r="I17" s="18">
        <v>800000</v>
      </c>
      <c r="J17" s="18">
        <f t="shared" si="3"/>
        <v>2800000</v>
      </c>
    </row>
    <row r="18" spans="1:10">
      <c r="A18" s="2" t="s">
        <v>62</v>
      </c>
      <c r="B18" s="22">
        <v>0.42708333333333331</v>
      </c>
      <c r="C18" s="2">
        <v>5</v>
      </c>
      <c r="D18" s="22">
        <f>TIME(HOUR(B18),MINUTE(B18)+C18*4,0)</f>
        <v>0.44097222222222227</v>
      </c>
      <c r="E18" s="23"/>
      <c r="F18" s="2" t="s">
        <v>63</v>
      </c>
      <c r="G18" s="2" t="s">
        <v>53</v>
      </c>
      <c r="H18" s="18">
        <v>1600000</v>
      </c>
      <c r="I18" s="18">
        <v>500000</v>
      </c>
      <c r="J18" s="18">
        <f t="shared" si="3"/>
        <v>2100000</v>
      </c>
    </row>
    <row r="19" spans="1:10">
      <c r="A19" s="2" t="s">
        <v>64</v>
      </c>
      <c r="B19" s="22">
        <v>0.39583333333333331</v>
      </c>
      <c r="C19" s="2">
        <v>6</v>
      </c>
      <c r="D19" s="22">
        <f t="shared" ref="D19:D24" si="4">TIME(HOUR(B19),MINUTE(B19)+C19*4,0)</f>
        <v>0.41250000000000003</v>
      </c>
      <c r="F19" s="2" t="s">
        <v>65</v>
      </c>
      <c r="G19" s="2" t="s">
        <v>53</v>
      </c>
      <c r="H19" s="18">
        <v>1800000</v>
      </c>
      <c r="I19" s="18">
        <v>700000</v>
      </c>
      <c r="J19" s="18">
        <f t="shared" si="3"/>
        <v>2500000</v>
      </c>
    </row>
    <row r="20" spans="1:10">
      <c r="A20" s="2" t="s">
        <v>66</v>
      </c>
      <c r="B20" s="22">
        <v>0.4201388888888889</v>
      </c>
      <c r="C20" s="2">
        <v>4</v>
      </c>
      <c r="D20" s="22">
        <f t="shared" si="4"/>
        <v>0.43124999999999997</v>
      </c>
      <c r="F20" s="2" t="s">
        <v>67</v>
      </c>
      <c r="G20" s="2" t="s">
        <v>68</v>
      </c>
      <c r="H20" s="18">
        <v>2200000</v>
      </c>
      <c r="I20" s="18">
        <v>750000</v>
      </c>
      <c r="J20" s="18">
        <f t="shared" si="3"/>
        <v>2950000</v>
      </c>
    </row>
    <row r="21" spans="1:10">
      <c r="A21" s="2" t="s">
        <v>69</v>
      </c>
      <c r="B21" s="22">
        <v>0.40625</v>
      </c>
      <c r="C21" s="2">
        <v>5</v>
      </c>
      <c r="D21" s="22">
        <f t="shared" si="4"/>
        <v>0.4201388888888889</v>
      </c>
      <c r="F21" s="2" t="s">
        <v>70</v>
      </c>
      <c r="G21" s="2" t="s">
        <v>56</v>
      </c>
      <c r="H21" s="18">
        <v>2400000</v>
      </c>
      <c r="I21" s="18">
        <v>800000</v>
      </c>
      <c r="J21" s="18">
        <f t="shared" si="3"/>
        <v>3200000</v>
      </c>
    </row>
    <row r="22" spans="1:10">
      <c r="A22" s="2" t="s">
        <v>71</v>
      </c>
      <c r="B22" s="22">
        <v>0.40625</v>
      </c>
      <c r="C22" s="2">
        <v>6</v>
      </c>
      <c r="D22" s="22">
        <f t="shared" si="4"/>
        <v>0.42291666666666666</v>
      </c>
      <c r="F22" s="2" t="s">
        <v>72</v>
      </c>
      <c r="G22" s="2" t="s">
        <v>68</v>
      </c>
      <c r="H22" s="18">
        <v>2000000</v>
      </c>
      <c r="I22" s="18">
        <v>600000</v>
      </c>
      <c r="J22" s="18">
        <f t="shared" si="3"/>
        <v>2600000</v>
      </c>
    </row>
    <row r="23" spans="1:10">
      <c r="A23" s="2" t="s">
        <v>73</v>
      </c>
      <c r="B23" s="22">
        <v>0.42708333333333331</v>
      </c>
      <c r="C23" s="2">
        <v>4</v>
      </c>
      <c r="D23" s="22">
        <f t="shared" si="4"/>
        <v>0.4381944444444445</v>
      </c>
    </row>
    <row r="24" spans="1:10">
      <c r="A24" s="2" t="s">
        <v>74</v>
      </c>
      <c r="B24" s="22">
        <v>0.39583333333333331</v>
      </c>
      <c r="C24" s="2">
        <v>3</v>
      </c>
      <c r="D24" s="22">
        <f t="shared" si="4"/>
        <v>0.40416666666666662</v>
      </c>
      <c r="G24" s="40" t="s">
        <v>75</v>
      </c>
      <c r="H24" s="41"/>
      <c r="I24" s="3">
        <f>SUMIF(G15:G22,"생산부",I15:I22)</f>
        <v>1350000</v>
      </c>
    </row>
    <row r="26" spans="1:10">
      <c r="A26" s="1" t="s">
        <v>76</v>
      </c>
    </row>
    <row r="27" spans="1:10">
      <c r="A27" s="2" t="s">
        <v>77</v>
      </c>
      <c r="B27" s="2" t="s">
        <v>78</v>
      </c>
      <c r="C27" s="2" t="s">
        <v>79</v>
      </c>
      <c r="D27" s="17" t="s">
        <v>80</v>
      </c>
      <c r="J27" s="24"/>
    </row>
    <row r="28" spans="1:10">
      <c r="A28" s="2" t="s">
        <v>81</v>
      </c>
      <c r="B28" s="2" t="s">
        <v>82</v>
      </c>
      <c r="C28" s="2" t="s">
        <v>83</v>
      </c>
      <c r="D28" s="2" t="str">
        <f>UPPER(A28&amp;"-"&amp;C28&amp;"-"&amp;RIGHT(B28,1))</f>
        <v>ABC-G-1</v>
      </c>
    </row>
    <row r="29" spans="1:10">
      <c r="A29" s="2" t="s">
        <v>84</v>
      </c>
      <c r="B29" s="2" t="s">
        <v>11</v>
      </c>
      <c r="C29" s="2" t="s">
        <v>85</v>
      </c>
      <c r="D29" s="2" t="str">
        <f t="shared" ref="D29:D33" si="5">UPPER(A29&amp;"-"&amp;C29&amp;"-"&amp;RIGHT(B29,1))</f>
        <v>RPG-K-2</v>
      </c>
    </row>
    <row r="30" spans="1:10">
      <c r="A30" s="2" t="s">
        <v>86</v>
      </c>
      <c r="B30" s="2" t="s">
        <v>12</v>
      </c>
      <c r="C30" s="2" t="s">
        <v>87</v>
      </c>
      <c r="D30" s="2" t="str">
        <f t="shared" si="5"/>
        <v>DGA-J-3</v>
      </c>
    </row>
    <row r="31" spans="1:10">
      <c r="A31" s="2" t="s">
        <v>88</v>
      </c>
      <c r="B31" s="2" t="s">
        <v>13</v>
      </c>
      <c r="C31" s="2" t="s">
        <v>89</v>
      </c>
      <c r="D31" s="2" t="str">
        <f t="shared" si="5"/>
        <v>LEW-W-4</v>
      </c>
    </row>
    <row r="32" spans="1:10">
      <c r="A32" s="2" t="s">
        <v>90</v>
      </c>
      <c r="B32" s="2" t="s">
        <v>14</v>
      </c>
      <c r="C32" s="2" t="s">
        <v>91</v>
      </c>
      <c r="D32" s="2" t="str">
        <f t="shared" si="5"/>
        <v>KEI-C-5</v>
      </c>
    </row>
    <row r="33" spans="1:4">
      <c r="A33" s="2" t="s">
        <v>92</v>
      </c>
      <c r="B33" s="2" t="s">
        <v>15</v>
      </c>
      <c r="C33" s="2" t="s">
        <v>93</v>
      </c>
      <c r="D33" s="2" t="str">
        <f t="shared" si="5"/>
        <v>CLE-R-6</v>
      </c>
    </row>
  </sheetData>
  <mergeCells count="1">
    <mergeCell ref="G24:H24"/>
  </mergeCells>
  <phoneticPr fontId="2" type="noConversion"/>
  <printOptions horizontalCentered="1" headings="1" gridLines="1"/>
  <pageMargins left="0.39370078740157483" right="0.39370078740157483" top="0.35" bottom="0.41" header="0.28000000000000003" footer="0.19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26"/>
  <sheetViews>
    <sheetView workbookViewId="0">
      <selection sqref="A1:G1"/>
    </sheetView>
  </sheetViews>
  <sheetFormatPr defaultRowHeight="16.5" outlineLevelRow="3"/>
  <cols>
    <col min="1" max="1" width="15.875" style="1" bestFit="1" customWidth="1"/>
    <col min="2" max="2" width="16.125" style="1" bestFit="1" customWidth="1"/>
    <col min="3" max="16384" width="9" style="1"/>
  </cols>
  <sheetData>
    <row r="1" spans="1:7" ht="26.25">
      <c r="A1" s="42" t="s">
        <v>156</v>
      </c>
      <c r="B1" s="42"/>
      <c r="C1" s="42"/>
      <c r="D1" s="42"/>
      <c r="E1" s="42"/>
      <c r="F1" s="42"/>
      <c r="G1" s="42"/>
    </row>
    <row r="3" spans="1:7">
      <c r="A3" s="13" t="s">
        <v>186</v>
      </c>
      <c r="B3" s="13" t="s">
        <v>187</v>
      </c>
      <c r="C3" s="2" t="s">
        <v>16</v>
      </c>
      <c r="D3" s="14" t="s">
        <v>188</v>
      </c>
      <c r="E3" s="14" t="s">
        <v>189</v>
      </c>
      <c r="F3" s="2" t="s">
        <v>17</v>
      </c>
      <c r="G3" s="2" t="s">
        <v>18</v>
      </c>
    </row>
    <row r="4" spans="1:7" outlineLevel="3">
      <c r="A4" s="13" t="s">
        <v>201</v>
      </c>
      <c r="B4" s="13" t="s">
        <v>202</v>
      </c>
      <c r="C4" s="2" t="s">
        <v>203</v>
      </c>
      <c r="D4" s="15">
        <v>1500</v>
      </c>
      <c r="E4" s="15">
        <v>400</v>
      </c>
      <c r="F4" s="16">
        <v>45491</v>
      </c>
      <c r="G4" s="16">
        <v>45497</v>
      </c>
    </row>
    <row r="5" spans="1:7" outlineLevel="3">
      <c r="A5" s="13" t="s">
        <v>206</v>
      </c>
      <c r="B5" s="13" t="s">
        <v>202</v>
      </c>
      <c r="C5" s="2" t="s">
        <v>207</v>
      </c>
      <c r="D5" s="15">
        <v>2500</v>
      </c>
      <c r="E5" s="15">
        <v>200</v>
      </c>
      <c r="F5" s="16">
        <v>45520</v>
      </c>
      <c r="G5" s="16">
        <v>45525</v>
      </c>
    </row>
    <row r="6" spans="1:7" outlineLevel="3">
      <c r="A6" s="13" t="s">
        <v>212</v>
      </c>
      <c r="B6" s="13" t="s">
        <v>202</v>
      </c>
      <c r="C6" s="2" t="s">
        <v>213</v>
      </c>
      <c r="D6" s="15">
        <v>1000</v>
      </c>
      <c r="E6" s="15">
        <v>0</v>
      </c>
      <c r="F6" s="16">
        <v>45450</v>
      </c>
      <c r="G6" s="16">
        <v>45453</v>
      </c>
    </row>
    <row r="7" spans="1:7" outlineLevel="3">
      <c r="A7" s="13" t="s">
        <v>214</v>
      </c>
      <c r="B7" s="13" t="s">
        <v>202</v>
      </c>
      <c r="C7" s="2" t="s">
        <v>215</v>
      </c>
      <c r="D7" s="15">
        <v>1000</v>
      </c>
      <c r="E7" s="15">
        <v>0</v>
      </c>
      <c r="F7" s="16">
        <v>45468</v>
      </c>
      <c r="G7" s="16">
        <v>45471</v>
      </c>
    </row>
    <row r="8" spans="1:7" outlineLevel="2">
      <c r="A8" s="13"/>
      <c r="B8" s="27" t="s">
        <v>178</v>
      </c>
      <c r="C8" s="2"/>
      <c r="D8" s="15"/>
      <c r="E8" s="15">
        <f>SUBTOTAL(1,E4:E7)</f>
        <v>150</v>
      </c>
      <c r="F8" s="16"/>
      <c r="G8" s="16"/>
    </row>
    <row r="9" spans="1:7" outlineLevel="1">
      <c r="A9" s="13"/>
      <c r="B9" s="27" t="s">
        <v>173</v>
      </c>
      <c r="C9" s="2"/>
      <c r="D9" s="15">
        <f>SUBTOTAL(9,D4:D7)</f>
        <v>6000</v>
      </c>
      <c r="E9" s="15"/>
      <c r="F9" s="16"/>
      <c r="G9" s="16"/>
    </row>
    <row r="10" spans="1:7" outlineLevel="3">
      <c r="A10" s="13" t="s">
        <v>196</v>
      </c>
      <c r="B10" s="13" t="s">
        <v>197</v>
      </c>
      <c r="C10" s="2" t="s">
        <v>198</v>
      </c>
      <c r="D10" s="15">
        <v>1500</v>
      </c>
      <c r="E10" s="15">
        <v>0</v>
      </c>
      <c r="F10" s="16">
        <v>45457</v>
      </c>
      <c r="G10" s="16">
        <v>45461</v>
      </c>
    </row>
    <row r="11" spans="1:7" outlineLevel="3">
      <c r="A11" s="13" t="s">
        <v>208</v>
      </c>
      <c r="B11" s="13" t="s">
        <v>197</v>
      </c>
      <c r="C11" s="2" t="s">
        <v>209</v>
      </c>
      <c r="D11" s="15">
        <v>2500</v>
      </c>
      <c r="E11" s="15">
        <v>0</v>
      </c>
      <c r="F11" s="16">
        <v>45506</v>
      </c>
      <c r="G11" s="16">
        <v>45509</v>
      </c>
    </row>
    <row r="12" spans="1:7" outlineLevel="3">
      <c r="A12" s="13" t="s">
        <v>216</v>
      </c>
      <c r="B12" s="13" t="s">
        <v>197</v>
      </c>
      <c r="C12" s="2" t="s">
        <v>217</v>
      </c>
      <c r="D12" s="15">
        <v>1500</v>
      </c>
      <c r="E12" s="15">
        <v>200</v>
      </c>
      <c r="F12" s="16">
        <v>45498</v>
      </c>
      <c r="G12" s="16">
        <v>45503</v>
      </c>
    </row>
    <row r="13" spans="1:7" outlineLevel="2">
      <c r="A13" s="13"/>
      <c r="B13" s="27" t="s">
        <v>179</v>
      </c>
      <c r="C13" s="2"/>
      <c r="D13" s="15"/>
      <c r="E13" s="15">
        <f>SUBTOTAL(1,E10:E12)</f>
        <v>66.666666666666671</v>
      </c>
      <c r="F13" s="16"/>
      <c r="G13" s="16"/>
    </row>
    <row r="14" spans="1:7" outlineLevel="1">
      <c r="A14" s="13"/>
      <c r="B14" s="27" t="s">
        <v>174</v>
      </c>
      <c r="C14" s="2"/>
      <c r="D14" s="15">
        <f>SUBTOTAL(9,D10:D12)</f>
        <v>5500</v>
      </c>
      <c r="E14" s="15"/>
      <c r="F14" s="16"/>
      <c r="G14" s="16"/>
    </row>
    <row r="15" spans="1:7" outlineLevel="3">
      <c r="A15" s="13" t="s">
        <v>190</v>
      </c>
      <c r="B15" s="13" t="s">
        <v>191</v>
      </c>
      <c r="C15" s="2" t="s">
        <v>192</v>
      </c>
      <c r="D15" s="15">
        <v>1000</v>
      </c>
      <c r="E15" s="15">
        <v>600</v>
      </c>
      <c r="F15" s="16">
        <v>45450</v>
      </c>
      <c r="G15" s="16">
        <v>45457</v>
      </c>
    </row>
    <row r="16" spans="1:7" outlineLevel="3">
      <c r="A16" s="13" t="s">
        <v>204</v>
      </c>
      <c r="B16" s="13" t="s">
        <v>191</v>
      </c>
      <c r="C16" s="2" t="s">
        <v>205</v>
      </c>
      <c r="D16" s="15">
        <v>2000</v>
      </c>
      <c r="E16" s="15">
        <v>600</v>
      </c>
      <c r="F16" s="16">
        <v>45476</v>
      </c>
      <c r="G16" s="16">
        <v>45483</v>
      </c>
    </row>
    <row r="17" spans="1:7" outlineLevel="3">
      <c r="A17" s="13" t="s">
        <v>218</v>
      </c>
      <c r="B17" s="13" t="s">
        <v>191</v>
      </c>
      <c r="C17" s="2" t="s">
        <v>219</v>
      </c>
      <c r="D17" s="15">
        <v>2000</v>
      </c>
      <c r="E17" s="15">
        <v>400</v>
      </c>
      <c r="F17" s="16">
        <v>45520</v>
      </c>
      <c r="G17" s="16">
        <v>45526</v>
      </c>
    </row>
    <row r="18" spans="1:7" outlineLevel="2">
      <c r="A18" s="13"/>
      <c r="B18" s="27" t="s">
        <v>180</v>
      </c>
      <c r="C18" s="2"/>
      <c r="D18" s="15"/>
      <c r="E18" s="15">
        <f>SUBTOTAL(1,E15:E17)</f>
        <v>533.33333333333337</v>
      </c>
      <c r="F18" s="16"/>
      <c r="G18" s="16"/>
    </row>
    <row r="19" spans="1:7" outlineLevel="1">
      <c r="A19" s="13"/>
      <c r="B19" s="27" t="s">
        <v>175</v>
      </c>
      <c r="C19" s="2"/>
      <c r="D19" s="15">
        <f>SUBTOTAL(9,D15:D17)</f>
        <v>5000</v>
      </c>
      <c r="E19" s="15"/>
      <c r="F19" s="16"/>
      <c r="G19" s="16"/>
    </row>
    <row r="20" spans="1:7" outlineLevel="3">
      <c r="A20" s="13" t="s">
        <v>193</v>
      </c>
      <c r="B20" s="13" t="s">
        <v>194</v>
      </c>
      <c r="C20" s="2" t="s">
        <v>195</v>
      </c>
      <c r="D20" s="15">
        <v>1500</v>
      </c>
      <c r="E20" s="15">
        <v>0</v>
      </c>
      <c r="F20" s="16">
        <v>45450</v>
      </c>
      <c r="G20" s="16">
        <v>45453</v>
      </c>
    </row>
    <row r="21" spans="1:7" outlineLevel="3">
      <c r="A21" s="13" t="s">
        <v>199</v>
      </c>
      <c r="B21" s="13" t="s">
        <v>194</v>
      </c>
      <c r="C21" s="2" t="s">
        <v>200</v>
      </c>
      <c r="D21" s="15">
        <v>1000</v>
      </c>
      <c r="E21" s="15">
        <v>600</v>
      </c>
      <c r="F21" s="16">
        <v>45461</v>
      </c>
      <c r="G21" s="16">
        <v>45468</v>
      </c>
    </row>
    <row r="22" spans="1:7" outlineLevel="3">
      <c r="A22" s="13" t="s">
        <v>210</v>
      </c>
      <c r="B22" s="13" t="s">
        <v>194</v>
      </c>
      <c r="C22" s="2" t="s">
        <v>211</v>
      </c>
      <c r="D22" s="15">
        <v>1500</v>
      </c>
      <c r="E22" s="15">
        <v>0</v>
      </c>
      <c r="F22" s="16">
        <v>45478</v>
      </c>
      <c r="G22" s="16">
        <v>45482</v>
      </c>
    </row>
    <row r="23" spans="1:7" outlineLevel="2">
      <c r="A23" s="34"/>
      <c r="B23" s="36" t="s">
        <v>181</v>
      </c>
      <c r="C23" s="24"/>
      <c r="D23" s="28"/>
      <c r="E23" s="28">
        <f>SUBTOTAL(1,E20:E22)</f>
        <v>200</v>
      </c>
      <c r="F23" s="35"/>
      <c r="G23" s="35"/>
    </row>
    <row r="24" spans="1:7" outlineLevel="1">
      <c r="A24" s="34"/>
      <c r="B24" s="36" t="s">
        <v>176</v>
      </c>
      <c r="C24" s="24"/>
      <c r="D24" s="28">
        <f>SUBTOTAL(9,D20:D22)</f>
        <v>4000</v>
      </c>
      <c r="E24" s="28"/>
      <c r="F24" s="35"/>
      <c r="G24" s="35"/>
    </row>
    <row r="25" spans="1:7">
      <c r="A25" s="34"/>
      <c r="B25" s="36" t="s">
        <v>182</v>
      </c>
      <c r="C25" s="24"/>
      <c r="D25" s="28"/>
      <c r="E25" s="28">
        <f>SUBTOTAL(1,E4:E22)</f>
        <v>230.76923076923077</v>
      </c>
      <c r="F25" s="35"/>
      <c r="G25" s="35"/>
    </row>
    <row r="26" spans="1:7">
      <c r="A26" s="34"/>
      <c r="B26" s="36" t="s">
        <v>177</v>
      </c>
      <c r="C26" s="24"/>
      <c r="D26" s="28">
        <f>SUBTOTAL(9,D4:D22)</f>
        <v>20500</v>
      </c>
      <c r="E26" s="28"/>
      <c r="F26" s="35"/>
      <c r="G26" s="35"/>
    </row>
  </sheetData>
  <sortState xmlns:xlrd2="http://schemas.microsoft.com/office/spreadsheetml/2017/richdata2" ref="A4:G22">
    <sortCondition ref="B3:B22"/>
  </sortState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0"/>
  <sheetViews>
    <sheetView workbookViewId="0">
      <selection sqref="A1:F1"/>
    </sheetView>
  </sheetViews>
  <sheetFormatPr defaultRowHeight="16.5"/>
  <cols>
    <col min="1" max="1" width="8.125" style="1" bestFit="1" customWidth="1"/>
    <col min="2" max="2" width="15.5" style="1" bestFit="1" customWidth="1"/>
    <col min="3" max="4" width="13" style="1" bestFit="1" customWidth="1"/>
    <col min="5" max="5" width="14.25" style="1" bestFit="1" customWidth="1"/>
    <col min="6" max="6" width="17" style="1" bestFit="1" customWidth="1"/>
    <col min="7" max="7" width="3.125" style="1" customWidth="1"/>
    <col min="8" max="8" width="13" style="1" customWidth="1"/>
    <col min="9" max="16384" width="9" style="1"/>
  </cols>
  <sheetData>
    <row r="1" spans="1:9" ht="26.25">
      <c r="A1" s="39" t="s">
        <v>148</v>
      </c>
      <c r="B1" s="39"/>
      <c r="C1" s="39"/>
      <c r="D1" s="39"/>
      <c r="E1" s="39"/>
      <c r="F1" s="39"/>
    </row>
    <row r="2" spans="1:9">
      <c r="C2" s="6"/>
      <c r="D2" s="6"/>
      <c r="E2" s="6"/>
      <c r="F2" s="7">
        <v>45464</v>
      </c>
    </row>
    <row r="3" spans="1:9">
      <c r="A3" s="2" t="s">
        <v>128</v>
      </c>
      <c r="B3" s="2" t="s">
        <v>149</v>
      </c>
      <c r="C3" s="2" t="s">
        <v>150</v>
      </c>
      <c r="D3" s="2" t="s">
        <v>151</v>
      </c>
      <c r="E3" s="2" t="s">
        <v>138</v>
      </c>
      <c r="F3" s="2" t="s">
        <v>152</v>
      </c>
      <c r="H3" s="2" t="s">
        <v>153</v>
      </c>
      <c r="I3" s="8">
        <v>0.18</v>
      </c>
    </row>
    <row r="4" spans="1:9">
      <c r="A4" s="2" t="s">
        <v>220</v>
      </c>
      <c r="B4" s="9">
        <v>221062500</v>
      </c>
      <c r="C4" s="10">
        <v>1000000</v>
      </c>
      <c r="D4" s="9">
        <v>2500000</v>
      </c>
      <c r="E4" s="10">
        <f>B4*25%</f>
        <v>55265625</v>
      </c>
      <c r="F4" s="10">
        <f>B4-C4-D4-E4</f>
        <v>162296875</v>
      </c>
      <c r="H4" s="11" t="s">
        <v>154</v>
      </c>
      <c r="I4" s="12">
        <v>0.21693037908925256</v>
      </c>
    </row>
    <row r="5" spans="1:9">
      <c r="A5" s="2" t="s">
        <v>221</v>
      </c>
      <c r="B5" s="9">
        <f>B4*(1+$I$4)</f>
        <v>269017671.92741787</v>
      </c>
      <c r="C5" s="10">
        <v>1000000</v>
      </c>
      <c r="D5" s="9">
        <v>3000000</v>
      </c>
      <c r="E5" s="10">
        <f>B5*25%</f>
        <v>67254417.981854469</v>
      </c>
      <c r="F5" s="10">
        <f>B5-C5-D5-E5</f>
        <v>197763253.94556341</v>
      </c>
    </row>
    <row r="6" spans="1:9">
      <c r="A6" s="2" t="s">
        <v>222</v>
      </c>
      <c r="B6" s="9">
        <f>B5*(1+$I$4)</f>
        <v>327375777.48034078</v>
      </c>
      <c r="C6" s="10">
        <v>1500000</v>
      </c>
      <c r="D6" s="9">
        <v>3000000</v>
      </c>
      <c r="E6" s="10">
        <f>B6*25%</f>
        <v>81843944.370085195</v>
      </c>
      <c r="F6" s="10">
        <f>B6-C6-D6-E6</f>
        <v>241031833.1102556</v>
      </c>
    </row>
    <row r="7" spans="1:9">
      <c r="A7" s="2" t="s">
        <v>223</v>
      </c>
      <c r="B7" s="9">
        <f>B6*(1+$I$4)</f>
        <v>398393528.99378985</v>
      </c>
      <c r="C7" s="10">
        <v>2000000</v>
      </c>
      <c r="D7" s="9">
        <v>4000000</v>
      </c>
      <c r="E7" s="10">
        <f>B7*25%</f>
        <v>99598382.248447463</v>
      </c>
      <c r="F7" s="10">
        <f>B7-C7-D7-E7</f>
        <v>292795146.74534237</v>
      </c>
    </row>
    <row r="8" spans="1:9">
      <c r="A8" s="2" t="s">
        <v>224</v>
      </c>
      <c r="B8" s="9">
        <f>B7*(1+$I$4)</f>
        <v>484817188.26511776</v>
      </c>
      <c r="C8" s="10">
        <v>2500000</v>
      </c>
      <c r="D8" s="9">
        <v>5000000</v>
      </c>
      <c r="E8" s="10">
        <f>B8*25%</f>
        <v>121204297.06627944</v>
      </c>
      <c r="F8" s="10">
        <f>B8-C8-D8-E8</f>
        <v>356112891.19883835</v>
      </c>
    </row>
    <row r="9" spans="1:9">
      <c r="A9" s="2" t="s">
        <v>155</v>
      </c>
      <c r="B9" s="9">
        <f>AVERAGE(B4:B8)</f>
        <v>340133333.33333331</v>
      </c>
      <c r="C9" s="9">
        <f>AVERAGE(C4:C8)</f>
        <v>1600000</v>
      </c>
      <c r="D9" s="9">
        <f>AVERAGE(D4:D8)</f>
        <v>3500000</v>
      </c>
      <c r="E9" s="9">
        <f>AVERAGE(E4:E8)</f>
        <v>85033333.333333328</v>
      </c>
      <c r="F9" s="9">
        <f>AVERAGE(F4:F8)</f>
        <v>249999999.99999994</v>
      </c>
    </row>
    <row r="10" spans="1:9">
      <c r="C10" s="6"/>
      <c r="D10" s="6"/>
      <c r="E10" s="6"/>
      <c r="F10" s="6"/>
    </row>
  </sheetData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0"/>
  <sheetViews>
    <sheetView workbookViewId="0"/>
  </sheetViews>
  <sheetFormatPr defaultRowHeight="16.5"/>
  <cols>
    <col min="1" max="1" width="9" style="1"/>
    <col min="2" max="2" width="13" style="1" bestFit="1" customWidth="1"/>
    <col min="3" max="3" width="11.125" style="1" customWidth="1"/>
    <col min="4" max="4" width="11.25" style="1" bestFit="1" customWidth="1"/>
    <col min="5" max="5" width="11.125" style="1" bestFit="1" customWidth="1"/>
    <col min="6" max="6" width="13" style="1" bestFit="1" customWidth="1"/>
    <col min="7" max="16384" width="9" style="1"/>
  </cols>
  <sheetData>
    <row r="1" spans="1:6">
      <c r="A1" s="1" t="s">
        <v>157</v>
      </c>
    </row>
    <row r="2" spans="1:6">
      <c r="A2" s="29" t="s">
        <v>134</v>
      </c>
      <c r="B2" s="29" t="s">
        <v>135</v>
      </c>
      <c r="C2" s="29" t="s">
        <v>136</v>
      </c>
      <c r="D2" s="29" t="s">
        <v>137</v>
      </c>
      <c r="E2" s="29" t="s">
        <v>138</v>
      </c>
      <c r="F2" s="29" t="s">
        <v>139</v>
      </c>
    </row>
    <row r="3" spans="1:6">
      <c r="A3" s="2" t="s">
        <v>140</v>
      </c>
      <c r="B3" s="4">
        <v>3600000</v>
      </c>
      <c r="C3" s="4">
        <v>500000</v>
      </c>
      <c r="D3" s="4">
        <v>600000</v>
      </c>
      <c r="E3" s="4">
        <v>540000</v>
      </c>
      <c r="F3" s="5">
        <f>B3+C3+D3-E3</f>
        <v>4160000</v>
      </c>
    </row>
    <row r="4" spans="1:6">
      <c r="A4" s="2" t="s">
        <v>141</v>
      </c>
      <c r="B4" s="4">
        <v>3000000</v>
      </c>
      <c r="C4" s="4">
        <v>500000</v>
      </c>
      <c r="D4" s="4">
        <v>500000</v>
      </c>
      <c r="E4" s="4">
        <v>450000</v>
      </c>
      <c r="F4" s="5">
        <f t="shared" ref="F4:F10" si="0">B4+C4+D4-E4</f>
        <v>3550000</v>
      </c>
    </row>
    <row r="5" spans="1:6">
      <c r="A5" s="2" t="s">
        <v>142</v>
      </c>
      <c r="B5" s="4">
        <v>3200000</v>
      </c>
      <c r="C5" s="4">
        <v>500000</v>
      </c>
      <c r="D5" s="4">
        <v>500000</v>
      </c>
      <c r="E5" s="4">
        <v>480000</v>
      </c>
      <c r="F5" s="5">
        <f t="shared" si="0"/>
        <v>3720000</v>
      </c>
    </row>
    <row r="6" spans="1:6">
      <c r="A6" s="2" t="s">
        <v>143</v>
      </c>
      <c r="B6" s="4">
        <v>2600000</v>
      </c>
      <c r="C6" s="4">
        <v>500000</v>
      </c>
      <c r="D6" s="4">
        <v>300000</v>
      </c>
      <c r="E6" s="4">
        <v>390000</v>
      </c>
      <c r="F6" s="5">
        <f t="shared" si="0"/>
        <v>3010000</v>
      </c>
    </row>
    <row r="7" spans="1:6">
      <c r="A7" s="2" t="s">
        <v>144</v>
      </c>
      <c r="B7" s="4">
        <v>2500000</v>
      </c>
      <c r="C7" s="4">
        <v>500000</v>
      </c>
      <c r="D7" s="4">
        <v>300000</v>
      </c>
      <c r="E7" s="4">
        <v>375000</v>
      </c>
      <c r="F7" s="5">
        <f t="shared" si="0"/>
        <v>2925000</v>
      </c>
    </row>
    <row r="8" spans="1:6">
      <c r="A8" s="2" t="s">
        <v>145</v>
      </c>
      <c r="B8" s="4">
        <v>2700000</v>
      </c>
      <c r="C8" s="4">
        <v>500000</v>
      </c>
      <c r="D8" s="4">
        <v>300000</v>
      </c>
      <c r="E8" s="4">
        <v>405000</v>
      </c>
      <c r="F8" s="5">
        <f t="shared" si="0"/>
        <v>3095000</v>
      </c>
    </row>
    <row r="9" spans="1:6">
      <c r="A9" s="2" t="s">
        <v>146</v>
      </c>
      <c r="B9" s="4">
        <v>2000000</v>
      </c>
      <c r="C9" s="4">
        <v>500000</v>
      </c>
      <c r="D9" s="3">
        <v>200000</v>
      </c>
      <c r="E9" s="4">
        <v>300000</v>
      </c>
      <c r="F9" s="5">
        <f t="shared" si="0"/>
        <v>2400000</v>
      </c>
    </row>
    <row r="10" spans="1:6">
      <c r="A10" s="2" t="s">
        <v>147</v>
      </c>
      <c r="B10" s="4">
        <v>2100000</v>
      </c>
      <c r="C10" s="4">
        <v>500000</v>
      </c>
      <c r="D10" s="3">
        <v>200000</v>
      </c>
      <c r="E10" s="4">
        <v>315000</v>
      </c>
      <c r="F10" s="5">
        <f t="shared" si="0"/>
        <v>2485000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7"/>
  <sheetViews>
    <sheetView workbookViewId="0">
      <selection sqref="A1:F1"/>
    </sheetView>
  </sheetViews>
  <sheetFormatPr defaultRowHeight="16.5"/>
  <cols>
    <col min="1" max="1" width="9" style="1"/>
    <col min="2" max="2" width="11.125" style="1" bestFit="1" customWidth="1"/>
    <col min="3" max="3" width="10.125" style="1" bestFit="1" customWidth="1"/>
    <col min="4" max="6" width="11.125" style="1" bestFit="1" customWidth="1"/>
    <col min="7" max="16384" width="9" style="1"/>
  </cols>
  <sheetData>
    <row r="1" spans="1:6" ht="20.25">
      <c r="A1" s="43" t="s">
        <v>183</v>
      </c>
      <c r="B1" s="43"/>
      <c r="C1" s="43"/>
      <c r="D1" s="43"/>
      <c r="E1" s="43"/>
      <c r="F1" s="43"/>
    </row>
    <row r="2" spans="1:6">
      <c r="F2" s="1" t="s">
        <v>127</v>
      </c>
    </row>
    <row r="3" spans="1:6">
      <c r="A3" s="2" t="s">
        <v>184</v>
      </c>
      <c r="B3" s="2" t="s">
        <v>129</v>
      </c>
      <c r="C3" s="2" t="s">
        <v>130</v>
      </c>
      <c r="D3" s="2" t="s">
        <v>131</v>
      </c>
      <c r="E3" s="2" t="s">
        <v>132</v>
      </c>
      <c r="F3" s="2" t="s">
        <v>133</v>
      </c>
    </row>
    <row r="4" spans="1:6">
      <c r="A4" s="2" t="s">
        <v>159</v>
      </c>
      <c r="B4" s="3">
        <v>211662</v>
      </c>
      <c r="C4" s="3">
        <v>6166</v>
      </c>
      <c r="D4" s="3">
        <v>335962</v>
      </c>
      <c r="E4" s="3">
        <v>127643</v>
      </c>
      <c r="F4" s="3">
        <v>200861</v>
      </c>
    </row>
    <row r="5" spans="1:6">
      <c r="A5" s="2" t="s">
        <v>227</v>
      </c>
      <c r="B5" s="3">
        <v>215822</v>
      </c>
      <c r="C5" s="3">
        <v>5870</v>
      </c>
      <c r="D5" s="3">
        <v>338962</v>
      </c>
      <c r="E5" s="3">
        <v>124182</v>
      </c>
      <c r="F5" s="3">
        <v>205222</v>
      </c>
    </row>
    <row r="6" spans="1:6">
      <c r="A6" s="2" t="s">
        <v>226</v>
      </c>
      <c r="B6" s="3">
        <v>231990</v>
      </c>
      <c r="C6" s="3">
        <v>5838</v>
      </c>
      <c r="D6" s="3">
        <v>361875</v>
      </c>
      <c r="E6" s="3">
        <v>126378</v>
      </c>
      <c r="F6" s="3">
        <v>223992</v>
      </c>
    </row>
    <row r="7" spans="1:6">
      <c r="A7" s="2" t="s">
        <v>225</v>
      </c>
      <c r="B7" s="3">
        <v>226878</v>
      </c>
      <c r="C7" s="3">
        <v>5505</v>
      </c>
      <c r="D7" s="3">
        <v>352458</v>
      </c>
      <c r="E7" s="3">
        <v>116902</v>
      </c>
      <c r="F7" s="3">
        <v>223665</v>
      </c>
    </row>
  </sheetData>
  <mergeCells count="1">
    <mergeCell ref="A1:F1"/>
  </mergeCells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'기본작업-3'!MS_Access_Database_Query</vt:lpstr>
      <vt:lpstr>등급</vt:lpstr>
    </vt:vector>
  </TitlesOfParts>
  <Company>길벗R&amp;D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조준현</cp:lastModifiedBy>
  <dcterms:created xsi:type="dcterms:W3CDTF">2011-06-14T11:23:31Z</dcterms:created>
  <dcterms:modified xsi:type="dcterms:W3CDTF">2023-10-09T17:02:11Z</dcterms:modified>
</cp:coreProperties>
</file>