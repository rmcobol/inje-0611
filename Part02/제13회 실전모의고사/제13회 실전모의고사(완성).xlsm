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3회 실전모의고사\"/>
    </mc:Choice>
  </mc:AlternateContent>
  <xr:revisionPtr revIDLastSave="0" documentId="13_ncr:1_{8BBFA3D8-5911-4687-95E3-7E0ECCC9DF43}" xr6:coauthVersionLast="47" xr6:coauthVersionMax="47" xr10:uidLastSave="{00000000-0000-0000-0000-000000000000}"/>
  <bookViews>
    <workbookView xWindow="9375" yWindow="1950" windowWidth="15390" windowHeight="12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시나리오 요약" sheetId="12" r:id="rId5"/>
    <sheet name="분석작업-1" sheetId="8" r:id="rId6"/>
    <sheet name="분석작업-2" sheetId="9" r:id="rId7"/>
    <sheet name="매크로작업" sheetId="10" r:id="rId8"/>
    <sheet name="차트작업" sheetId="11" r:id="rId9"/>
  </sheets>
  <definedNames>
    <definedName name="_xlnm._FilterDatabase" localSheetId="1" hidden="1">'기본작업-2'!$A$3:$G$13</definedName>
    <definedName name="_xlnm._FilterDatabase" localSheetId="2" hidden="1">'기본작업-3'!$A$3:$G$13</definedName>
    <definedName name="_xlnm.Criteria" localSheetId="2">'기본작업-3'!$A$16:$B$17</definedName>
    <definedName name="_xlnm.Extract" localSheetId="2">'기본작업-3'!$A$20:$G$20</definedName>
    <definedName name="HTML_CodePage" hidden="1">949</definedName>
    <definedName name="HTML_Control" localSheetId="1" hidden="1">{"'팬시점 판매현황(답)'!$B$11:$I$19"}</definedName>
    <definedName name="HTML_Control" localSheetId="7" hidden="1">{"'팬시점 판매현황(답)'!$B$11:$I$19"}</definedName>
    <definedName name="HTML_Control" localSheetId="5" hidden="1">{"'팬시점 판매현황(답)'!$B$11:$I$19"}</definedName>
    <definedName name="HTML_Control" localSheetId="6" hidden="1">{"'팬시점 판매현황(답)'!$B$11:$I$19"}</definedName>
    <definedName name="HTML_Control" localSheetId="8" hidden="1">{"'팬시점 판매현황(답)'!$B$11:$I$19"}</definedName>
    <definedName name="HTML_Control" hidden="1">{"'팬시점 판매현황(답)'!$B$11:$I$19"}</definedName>
    <definedName name="HTML_Description" hidden="1">""</definedName>
    <definedName name="HTML_Email" hidden="1">""</definedName>
    <definedName name="HTML_Header" hidden="1">""</definedName>
    <definedName name="HTML_LastUpdate" hidden="1">"01-03-11"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"C:\WINDOWS\바탕 화면\작업문서\합격다지기5회\합격다지기\1회\MyHTML.htm"</definedName>
    <definedName name="HTML_Title" hidden="1">""</definedName>
    <definedName name="총비용합계">'분석작업-1'!$G$13</definedName>
    <definedName name="할인율">'분석작업-1'!$G$15</definedName>
  </definedNames>
  <calcPr calcId="191029"/>
  <pivotCaches>
    <pivotCache cacheId="1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0" l="1"/>
  <c r="G6" i="10"/>
  <c r="G7" i="10"/>
  <c r="G8" i="10"/>
  <c r="G9" i="10"/>
  <c r="G10" i="10"/>
  <c r="G11" i="10"/>
  <c r="G4" i="10"/>
  <c r="D41" i="7" l="1"/>
  <c r="H24" i="7"/>
  <c r="D17" i="7"/>
  <c r="D18" i="7"/>
  <c r="D19" i="7"/>
  <c r="D20" i="7"/>
  <c r="D21" i="7"/>
  <c r="D22" i="7"/>
  <c r="D23" i="7"/>
  <c r="D24" i="7"/>
  <c r="D25" i="7"/>
  <c r="D16" i="7"/>
  <c r="K7" i="7"/>
  <c r="K6" i="7"/>
  <c r="D9" i="11" l="1"/>
  <c r="E9" i="11" s="1"/>
  <c r="D8" i="11"/>
  <c r="E8" i="11" s="1"/>
  <c r="D7" i="11"/>
  <c r="E7" i="11" s="1"/>
  <c r="E6" i="11"/>
  <c r="D6" i="11"/>
  <c r="D5" i="11"/>
  <c r="E5" i="11" s="1"/>
  <c r="E4" i="11"/>
  <c r="D4" i="11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F13" i="8"/>
  <c r="E13" i="8"/>
  <c r="D13" i="8"/>
  <c r="C13" i="8"/>
  <c r="G12" i="8"/>
  <c r="G11" i="8"/>
  <c r="G10" i="8"/>
  <c r="G9" i="8"/>
  <c r="G8" i="8"/>
  <c r="G7" i="8"/>
  <c r="G6" i="8"/>
  <c r="G5" i="8"/>
  <c r="G4" i="8"/>
  <c r="D11" i="7"/>
  <c r="D10" i="7"/>
  <c r="D9" i="7"/>
  <c r="D8" i="7"/>
  <c r="D7" i="7"/>
  <c r="D6" i="7"/>
  <c r="D5" i="7"/>
  <c r="D4" i="7"/>
  <c r="D3" i="7"/>
  <c r="D12" i="7" s="1"/>
  <c r="F13" i="6"/>
  <c r="G13" i="6" s="1"/>
  <c r="F12" i="6"/>
  <c r="G12" i="6" s="1"/>
  <c r="G11" i="6"/>
  <c r="F11" i="6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G4" i="6"/>
  <c r="F4" i="6"/>
  <c r="I14" i="5"/>
  <c r="I13" i="5"/>
  <c r="I12" i="5"/>
  <c r="I11" i="5"/>
  <c r="I10" i="5"/>
  <c r="I9" i="5"/>
  <c r="I8" i="5"/>
  <c r="I7" i="5"/>
  <c r="I6" i="5"/>
  <c r="I5" i="5"/>
  <c r="G1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I5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여성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현황</t>
        </r>
      </text>
    </comment>
  </commentList>
</comments>
</file>

<file path=xl/sharedStrings.xml><?xml version="1.0" encoding="utf-8"?>
<sst xmlns="http://schemas.openxmlformats.org/spreadsheetml/2006/main" count="372" uniqueCount="269">
  <si>
    <t>CSC-203</t>
  </si>
  <si>
    <t>SD2100</t>
  </si>
  <si>
    <t>E-170</t>
  </si>
  <si>
    <t>대한상사 명예퇴임 신청자 현황</t>
    <phoneticPr fontId="3" type="noConversion"/>
  </si>
  <si>
    <t>핸드폰 판매 마진율 현황</t>
    <phoneticPr fontId="3" type="noConversion"/>
  </si>
  <si>
    <t>모델</t>
    <phoneticPr fontId="3" type="noConversion"/>
  </si>
  <si>
    <t>원가</t>
    <phoneticPr fontId="3" type="noConversion"/>
  </si>
  <si>
    <t>판매액</t>
    <phoneticPr fontId="3" type="noConversion"/>
  </si>
  <si>
    <t>판매이익</t>
    <phoneticPr fontId="3" type="noConversion"/>
  </si>
  <si>
    <t>마진율</t>
    <phoneticPr fontId="3" type="noConversion"/>
  </si>
  <si>
    <t>IM400</t>
    <phoneticPr fontId="3" type="noConversion"/>
  </si>
  <si>
    <t>PG100</t>
    <phoneticPr fontId="3" type="noConversion"/>
  </si>
  <si>
    <t>LPX30</t>
    <phoneticPr fontId="3" type="noConversion"/>
  </si>
  <si>
    <t>MS230</t>
    <phoneticPr fontId="3" type="noConversion"/>
  </si>
  <si>
    <t>ST600</t>
    <phoneticPr fontId="3" type="noConversion"/>
  </si>
  <si>
    <t>CH230</t>
    <phoneticPr fontId="3" type="noConversion"/>
  </si>
  <si>
    <t>성명</t>
    <phoneticPr fontId="3" type="noConversion"/>
  </si>
  <si>
    <t>교과</t>
    <phoneticPr fontId="3" type="noConversion"/>
  </si>
  <si>
    <t>전공</t>
    <phoneticPr fontId="3" type="noConversion"/>
  </si>
  <si>
    <t>교직</t>
    <phoneticPr fontId="3" type="noConversion"/>
  </si>
  <si>
    <t>논술</t>
    <phoneticPr fontId="3" type="noConversion"/>
  </si>
  <si>
    <t>가산점</t>
    <phoneticPr fontId="3" type="noConversion"/>
  </si>
  <si>
    <t>김소영</t>
    <phoneticPr fontId="3" type="noConversion"/>
  </si>
  <si>
    <t>국어</t>
    <phoneticPr fontId="3" type="noConversion"/>
  </si>
  <si>
    <t>정형수</t>
    <phoneticPr fontId="3" type="noConversion"/>
  </si>
  <si>
    <t>전산</t>
    <phoneticPr fontId="3" type="noConversion"/>
  </si>
  <si>
    <t>박문석</t>
    <phoneticPr fontId="3" type="noConversion"/>
  </si>
  <si>
    <t>수학</t>
    <phoneticPr fontId="3" type="noConversion"/>
  </si>
  <si>
    <t>이경은</t>
    <phoneticPr fontId="3" type="noConversion"/>
  </si>
  <si>
    <t>이현지</t>
    <phoneticPr fontId="3" type="noConversion"/>
  </si>
  <si>
    <t>정지혜</t>
    <phoneticPr fontId="3" type="noConversion"/>
  </si>
  <si>
    <t>과학</t>
    <phoneticPr fontId="3" type="noConversion"/>
  </si>
  <si>
    <t>권태수</t>
    <phoneticPr fontId="3" type="noConversion"/>
  </si>
  <si>
    <t>상업</t>
    <phoneticPr fontId="3" type="noConversion"/>
  </si>
  <si>
    <t>임성수</t>
    <phoneticPr fontId="3" type="noConversion"/>
  </si>
  <si>
    <t>단위:백만원</t>
    <phoneticPr fontId="3" type="noConversion"/>
  </si>
  <si>
    <t>브랜드명</t>
    <phoneticPr fontId="3" type="noConversion"/>
  </si>
  <si>
    <t>제조업체</t>
    <phoneticPr fontId="3" type="noConversion"/>
  </si>
  <si>
    <t>생산지</t>
    <phoneticPr fontId="3" type="noConversion"/>
  </si>
  <si>
    <t>최신모델</t>
    <phoneticPr fontId="3" type="noConversion"/>
  </si>
  <si>
    <t>평균매출액</t>
    <phoneticPr fontId="3" type="noConversion"/>
  </si>
  <si>
    <t>스카이</t>
    <phoneticPr fontId="3" type="noConversion"/>
  </si>
  <si>
    <t>KS</t>
    <phoneticPr fontId="3" type="noConversion"/>
  </si>
  <si>
    <t>미국</t>
    <phoneticPr fontId="3" type="noConversion"/>
  </si>
  <si>
    <t>IM-7100</t>
    <phoneticPr fontId="3" type="noConversion"/>
  </si>
  <si>
    <t>흐르미</t>
    <phoneticPr fontId="3" type="noConversion"/>
  </si>
  <si>
    <t>NIC</t>
    <phoneticPr fontId="3" type="noConversion"/>
  </si>
  <si>
    <t>일본</t>
    <phoneticPr fontId="3" type="noConversion"/>
  </si>
  <si>
    <t>MS-150</t>
    <phoneticPr fontId="3" type="noConversion"/>
  </si>
  <si>
    <t>멀티규</t>
    <phoneticPr fontId="3" type="noConversion"/>
  </si>
  <si>
    <t xml:space="preserve">SCP-A011 </t>
    <phoneticPr fontId="3" type="noConversion"/>
  </si>
  <si>
    <t>큐텔</t>
    <phoneticPr fontId="3" type="noConversion"/>
  </si>
  <si>
    <t>GLS</t>
    <phoneticPr fontId="3" type="noConversion"/>
  </si>
  <si>
    <t>한국</t>
    <phoneticPr fontId="3" type="noConversion"/>
  </si>
  <si>
    <t>S2</t>
    <phoneticPr fontId="3" type="noConversion"/>
  </si>
  <si>
    <t>레디안</t>
    <phoneticPr fontId="3" type="noConversion"/>
  </si>
  <si>
    <t>애드콜</t>
    <phoneticPr fontId="3" type="noConversion"/>
  </si>
  <si>
    <t>SAMS</t>
    <phoneticPr fontId="3" type="noConversion"/>
  </si>
  <si>
    <t>콜맨</t>
    <phoneticPr fontId="3" type="noConversion"/>
  </si>
  <si>
    <t>E-2500</t>
    <phoneticPr fontId="3" type="noConversion"/>
  </si>
  <si>
    <t>IM-8100</t>
    <phoneticPr fontId="3" type="noConversion"/>
  </si>
  <si>
    <t xml:space="preserve">SCP-A012 </t>
    <phoneticPr fontId="3" type="noConversion"/>
  </si>
  <si>
    <t>S3</t>
    <phoneticPr fontId="3" type="noConversion"/>
  </si>
  <si>
    <t>SD2101</t>
    <phoneticPr fontId="3" type="noConversion"/>
  </si>
  <si>
    <t>E-171</t>
    <phoneticPr fontId="3" type="noConversion"/>
  </si>
  <si>
    <t>E-2600</t>
    <phoneticPr fontId="3" type="noConversion"/>
  </si>
  <si>
    <t>동계스키캠프 참가명단</t>
    <phoneticPr fontId="3" type="noConversion"/>
  </si>
  <si>
    <t>강습기간</t>
    <phoneticPr fontId="3" type="noConversion"/>
  </si>
  <si>
    <t>장비대여료</t>
    <phoneticPr fontId="3" type="noConversion"/>
  </si>
  <si>
    <t>숙박비</t>
    <phoneticPr fontId="3" type="noConversion"/>
  </si>
  <si>
    <t>강습료</t>
    <phoneticPr fontId="3" type="noConversion"/>
  </si>
  <si>
    <t>교통비</t>
    <phoneticPr fontId="3" type="noConversion"/>
  </si>
  <si>
    <t>총비용</t>
    <phoneticPr fontId="3" type="noConversion"/>
  </si>
  <si>
    <t>초급</t>
    <phoneticPr fontId="3" type="noConversion"/>
  </si>
  <si>
    <t>2박3일</t>
    <phoneticPr fontId="3" type="noConversion"/>
  </si>
  <si>
    <t>중급</t>
    <phoneticPr fontId="3" type="noConversion"/>
  </si>
  <si>
    <t>고급</t>
    <phoneticPr fontId="3" type="noConversion"/>
  </si>
  <si>
    <t>3박4일</t>
    <phoneticPr fontId="3" type="noConversion"/>
  </si>
  <si>
    <t>4박5일</t>
    <phoneticPr fontId="3" type="noConversion"/>
  </si>
  <si>
    <t>합계</t>
    <phoneticPr fontId="3" type="noConversion"/>
  </si>
  <si>
    <t>할인율</t>
    <phoneticPr fontId="3" type="noConversion"/>
  </si>
  <si>
    <t>[표1] 과일 종류</t>
    <phoneticPr fontId="3" type="noConversion"/>
  </si>
  <si>
    <t>[표2] 펀드 수익률</t>
    <phoneticPr fontId="3" type="noConversion"/>
  </si>
  <si>
    <t>과일명</t>
    <phoneticPr fontId="3" type="noConversion"/>
  </si>
  <si>
    <t>판매량</t>
    <phoneticPr fontId="3" type="noConversion"/>
  </si>
  <si>
    <t>단가</t>
    <phoneticPr fontId="3" type="noConversion"/>
  </si>
  <si>
    <t>판매금액</t>
    <phoneticPr fontId="3" type="noConversion"/>
  </si>
  <si>
    <t>수익률</t>
    <phoneticPr fontId="3" type="noConversion"/>
  </si>
  <si>
    <t>가입일</t>
    <phoneticPr fontId="3" type="noConversion"/>
  </si>
  <si>
    <t>펀드명</t>
    <phoneticPr fontId="3" type="noConversion"/>
  </si>
  <si>
    <t>충주사과</t>
    <phoneticPr fontId="3" type="noConversion"/>
  </si>
  <si>
    <t>굿윈펀드</t>
    <phoneticPr fontId="3" type="noConversion"/>
  </si>
  <si>
    <t>성주참외</t>
    <phoneticPr fontId="3" type="noConversion"/>
  </si>
  <si>
    <t>닥터펀드</t>
    <phoneticPr fontId="3" type="noConversion"/>
  </si>
  <si>
    <t>나주배</t>
    <phoneticPr fontId="3" type="noConversion"/>
  </si>
  <si>
    <r>
      <t xml:space="preserve"> </t>
    </r>
    <r>
      <rPr>
        <sz val="11"/>
        <color theme="1"/>
        <rFont val="맑은 고딕"/>
        <family val="3"/>
        <charset val="129"/>
      </rPr>
      <t>IBS펀드</t>
    </r>
    <phoneticPr fontId="3" type="noConversion"/>
  </si>
  <si>
    <t>수익률 순위</t>
    <phoneticPr fontId="3" type="noConversion"/>
  </si>
  <si>
    <t>예산사과</t>
    <phoneticPr fontId="3" type="noConversion"/>
  </si>
  <si>
    <r>
      <t>B</t>
    </r>
    <r>
      <rPr>
        <sz val="11"/>
        <color theme="1"/>
        <rFont val="맑은 고딕"/>
        <family val="3"/>
        <charset val="129"/>
      </rPr>
      <t>RK펀드</t>
    </r>
    <phoneticPr fontId="3" type="noConversion"/>
  </si>
  <si>
    <t>청주배</t>
    <phoneticPr fontId="3" type="noConversion"/>
  </si>
  <si>
    <t>한국펀드</t>
    <phoneticPr fontId="3" type="noConversion"/>
  </si>
  <si>
    <t>소백산사과</t>
    <phoneticPr fontId="3" type="noConversion"/>
  </si>
  <si>
    <t>상공펀드</t>
    <phoneticPr fontId="3" type="noConversion"/>
  </si>
  <si>
    <t>사천배</t>
    <phoneticPr fontId="3" type="noConversion"/>
  </si>
  <si>
    <t>코리아펀드</t>
    <phoneticPr fontId="3" type="noConversion"/>
  </si>
  <si>
    <t>보은참외</t>
    <phoneticPr fontId="3" type="noConversion"/>
  </si>
  <si>
    <t>재테크펀드</t>
    <phoneticPr fontId="3" type="noConversion"/>
  </si>
  <si>
    <t>청송사과</t>
    <phoneticPr fontId="3" type="noConversion"/>
  </si>
  <si>
    <t>굿앤굿펀드</t>
    <phoneticPr fontId="3" type="noConversion"/>
  </si>
  <si>
    <t>사과류 판매금액</t>
    <phoneticPr fontId="3" type="noConversion"/>
  </si>
  <si>
    <t>[표3] 재고 현황</t>
    <phoneticPr fontId="3" type="noConversion"/>
  </si>
  <si>
    <t>[표4] 지역별 불량률 현황</t>
    <phoneticPr fontId="3" type="noConversion"/>
  </si>
  <si>
    <t>회사보유재고</t>
    <phoneticPr fontId="3" type="noConversion"/>
  </si>
  <si>
    <t>판매오더수량</t>
    <phoneticPr fontId="3" type="noConversion"/>
  </si>
  <si>
    <t>수입업체보유재고</t>
    <phoneticPr fontId="3" type="noConversion"/>
  </si>
  <si>
    <t>비고</t>
    <phoneticPr fontId="3" type="noConversion"/>
  </si>
  <si>
    <t>지역</t>
    <phoneticPr fontId="3" type="noConversion"/>
  </si>
  <si>
    <t>불량률</t>
    <phoneticPr fontId="3" type="noConversion"/>
  </si>
  <si>
    <t>공정개수</t>
    <phoneticPr fontId="3" type="noConversion"/>
  </si>
  <si>
    <t>서울</t>
    <phoneticPr fontId="3" type="noConversion"/>
  </si>
  <si>
    <t>제주</t>
    <phoneticPr fontId="3" type="noConversion"/>
  </si>
  <si>
    <t>청주</t>
    <phoneticPr fontId="3" type="noConversion"/>
  </si>
  <si>
    <t>광주</t>
    <phoneticPr fontId="3" type="noConversion"/>
  </si>
  <si>
    <t>부산</t>
    <phoneticPr fontId="3" type="noConversion"/>
  </si>
  <si>
    <t>대구</t>
    <phoneticPr fontId="3" type="noConversion"/>
  </si>
  <si>
    <t>인천</t>
    <phoneticPr fontId="3" type="noConversion"/>
  </si>
  <si>
    <t>평균불량률</t>
    <phoneticPr fontId="3" type="noConversion"/>
  </si>
  <si>
    <t>[표5] 1/4분기 판매 현황</t>
    <phoneticPr fontId="3" type="noConversion"/>
  </si>
  <si>
    <t>제품명</t>
    <phoneticPr fontId="3" type="noConversion"/>
  </si>
  <si>
    <t>판매지점</t>
    <phoneticPr fontId="3" type="noConversion"/>
  </si>
  <si>
    <t>컴퓨터</t>
    <phoneticPr fontId="3" type="noConversion"/>
  </si>
  <si>
    <t>서초</t>
    <phoneticPr fontId="3" type="noConversion"/>
  </si>
  <si>
    <t>노트북</t>
    <phoneticPr fontId="3" type="noConversion"/>
  </si>
  <si>
    <t>강남</t>
    <phoneticPr fontId="3" type="noConversion"/>
  </si>
  <si>
    <t>프린터</t>
    <phoneticPr fontId="3" type="noConversion"/>
  </si>
  <si>
    <t>노원</t>
    <phoneticPr fontId="3" type="noConversion"/>
  </si>
  <si>
    <t>강북</t>
    <phoneticPr fontId="3" type="noConversion"/>
  </si>
  <si>
    <t>강북판매량</t>
    <phoneticPr fontId="3" type="noConversion"/>
  </si>
  <si>
    <t>상공전자 사원별 급여 현황</t>
    <phoneticPr fontId="3" type="noConversion"/>
  </si>
  <si>
    <t>직급</t>
    <phoneticPr fontId="3" type="noConversion"/>
  </si>
  <si>
    <t>기본수당</t>
    <phoneticPr fontId="3" type="noConversion"/>
  </si>
  <si>
    <t>연장수당</t>
    <phoneticPr fontId="3" type="noConversion"/>
  </si>
  <si>
    <t>자격수당</t>
    <phoneticPr fontId="3" type="noConversion"/>
  </si>
  <si>
    <t>세금</t>
    <phoneticPr fontId="3" type="noConversion"/>
  </si>
  <si>
    <t>총급여</t>
    <phoneticPr fontId="3" type="noConversion"/>
  </si>
  <si>
    <t>김상욱</t>
    <phoneticPr fontId="3" type="noConversion"/>
  </si>
  <si>
    <t>과장</t>
    <phoneticPr fontId="3" type="noConversion"/>
  </si>
  <si>
    <t>황진주</t>
    <phoneticPr fontId="3" type="noConversion"/>
  </si>
  <si>
    <t>대리</t>
    <phoneticPr fontId="3" type="noConversion"/>
  </si>
  <si>
    <t>박영선</t>
    <phoneticPr fontId="3" type="noConversion"/>
  </si>
  <si>
    <t>최성완</t>
    <phoneticPr fontId="3" type="noConversion"/>
  </si>
  <si>
    <t>부장</t>
    <phoneticPr fontId="3" type="noConversion"/>
  </si>
  <si>
    <t>임선호</t>
    <phoneticPr fontId="3" type="noConversion"/>
  </si>
  <si>
    <t>김민서</t>
    <phoneticPr fontId="3" type="noConversion"/>
  </si>
  <si>
    <t>고회식</t>
    <phoneticPr fontId="3" type="noConversion"/>
  </si>
  <si>
    <t>사원</t>
    <phoneticPr fontId="3" type="noConversion"/>
  </si>
  <si>
    <t>이가영</t>
    <phoneticPr fontId="3" type="noConversion"/>
  </si>
  <si>
    <t>김준용</t>
    <phoneticPr fontId="3" type="noConversion"/>
  </si>
  <si>
    <t>박경선</t>
    <phoneticPr fontId="3" type="noConversion"/>
  </si>
  <si>
    <t>상공 백화점 여성 의류 매출 현황</t>
    <phoneticPr fontId="3" type="noConversion"/>
  </si>
  <si>
    <t>브랜드</t>
    <phoneticPr fontId="3" type="noConversion"/>
  </si>
  <si>
    <t>분류코드</t>
    <phoneticPr fontId="3" type="noConversion"/>
  </si>
  <si>
    <t>주고객</t>
    <phoneticPr fontId="3" type="noConversion"/>
  </si>
  <si>
    <t>입점연도</t>
    <phoneticPr fontId="3" type="noConversion"/>
  </si>
  <si>
    <t>분기</t>
    <phoneticPr fontId="3" type="noConversion"/>
  </si>
  <si>
    <t>연매출액</t>
    <phoneticPr fontId="3" type="noConversion"/>
  </si>
  <si>
    <t>1사분기</t>
    <phoneticPr fontId="3" type="noConversion"/>
  </si>
  <si>
    <t>2사분기</t>
    <phoneticPr fontId="3" type="noConversion"/>
  </si>
  <si>
    <t>3사분기</t>
    <phoneticPr fontId="3" type="noConversion"/>
  </si>
  <si>
    <t>4사분기</t>
    <phoneticPr fontId="3" type="noConversion"/>
  </si>
  <si>
    <t>잔쟁이</t>
    <phoneticPr fontId="3" type="noConversion"/>
  </si>
  <si>
    <t>TLC-100</t>
    <phoneticPr fontId="3" type="noConversion"/>
  </si>
  <si>
    <t>30대</t>
    <phoneticPr fontId="3" type="noConversion"/>
  </si>
  <si>
    <t>색진</t>
    <phoneticPr fontId="3" type="noConversion"/>
  </si>
  <si>
    <t>CSC-200</t>
    <phoneticPr fontId="3" type="noConversion"/>
  </si>
  <si>
    <t>10대</t>
    <phoneticPr fontId="3" type="noConversion"/>
  </si>
  <si>
    <t>키젠</t>
    <phoneticPr fontId="3" type="noConversion"/>
  </si>
  <si>
    <t>MTC-300</t>
    <phoneticPr fontId="3" type="noConversion"/>
  </si>
  <si>
    <t>럭시룩</t>
    <phoneticPr fontId="3" type="noConversion"/>
  </si>
  <si>
    <t>TLC-101</t>
    <phoneticPr fontId="3" type="noConversion"/>
  </si>
  <si>
    <t>20대</t>
    <phoneticPr fontId="3" type="noConversion"/>
  </si>
  <si>
    <t>참진</t>
    <phoneticPr fontId="3" type="noConversion"/>
  </si>
  <si>
    <t>CSC-201</t>
    <phoneticPr fontId="3" type="noConversion"/>
  </si>
  <si>
    <t>비이트</t>
    <phoneticPr fontId="3" type="noConversion"/>
  </si>
  <si>
    <t>TLC-102</t>
    <phoneticPr fontId="3" type="noConversion"/>
  </si>
  <si>
    <t>시실리</t>
    <phoneticPr fontId="3" type="noConversion"/>
  </si>
  <si>
    <t>MTC-301</t>
    <phoneticPr fontId="3" type="noConversion"/>
  </si>
  <si>
    <t>40대</t>
    <phoneticPr fontId="3" type="noConversion"/>
  </si>
  <si>
    <t>메트로</t>
    <phoneticPr fontId="3" type="noConversion"/>
  </si>
  <si>
    <t>SSC-400</t>
    <phoneticPr fontId="3" type="noConversion"/>
  </si>
  <si>
    <t>이엔씨</t>
    <phoneticPr fontId="3" type="noConversion"/>
  </si>
  <si>
    <t>CSC-202</t>
    <phoneticPr fontId="3" type="noConversion"/>
  </si>
  <si>
    <t>스위티</t>
    <phoneticPr fontId="3" type="noConversion"/>
  </si>
  <si>
    <t>2015년</t>
    <phoneticPr fontId="3" type="noConversion"/>
  </si>
  <si>
    <t>2017년</t>
    <phoneticPr fontId="3" type="noConversion"/>
  </si>
  <si>
    <t>2019년</t>
    <phoneticPr fontId="3" type="noConversion"/>
  </si>
  <si>
    <t>2018년</t>
    <phoneticPr fontId="3" type="noConversion"/>
  </si>
  <si>
    <t>2020년</t>
    <phoneticPr fontId="3" type="noConversion"/>
  </si>
  <si>
    <t>[표1] 교원 임용고시 응시 현황</t>
    <phoneticPr fontId="3" type="noConversion"/>
  </si>
  <si>
    <t>사원코드</t>
    <phoneticPr fontId="3" type="noConversion"/>
  </si>
  <si>
    <t>주민등록번호</t>
    <phoneticPr fontId="3" type="noConversion"/>
  </si>
  <si>
    <t>거주지</t>
    <phoneticPr fontId="3" type="noConversion"/>
  </si>
  <si>
    <t>신청일자</t>
    <phoneticPr fontId="3" type="noConversion"/>
  </si>
  <si>
    <t>평균급여</t>
    <phoneticPr fontId="3" type="noConversion"/>
  </si>
  <si>
    <t>73MM#-01</t>
  </si>
  <si>
    <t>김영호</t>
  </si>
  <si>
    <t>540127-1324574</t>
  </si>
  <si>
    <t>행당동</t>
  </si>
  <si>
    <t>부장</t>
  </si>
  <si>
    <t>73MM#-06</t>
  </si>
  <si>
    <t>황인수</t>
  </si>
  <si>
    <t>551230-1663227</t>
  </si>
  <si>
    <t>역삼동</t>
  </si>
  <si>
    <t>차장</t>
  </si>
  <si>
    <t>75FD&amp;-09</t>
  </si>
  <si>
    <t>차인혜</t>
  </si>
  <si>
    <t>570608-2012341</t>
  </si>
  <si>
    <t>대치동</t>
  </si>
  <si>
    <t>76FJ*-02</t>
  </si>
  <si>
    <t>정인숙</t>
  </si>
  <si>
    <t>580803-2451245</t>
  </si>
  <si>
    <t>신당동</t>
  </si>
  <si>
    <t>74FJ*-07</t>
  </si>
  <si>
    <t>박정호</t>
  </si>
  <si>
    <t>560423-1625467</t>
  </si>
  <si>
    <t>하계동</t>
  </si>
  <si>
    <t>79MD&amp;-14</t>
  </si>
  <si>
    <t>곽지환</t>
  </si>
  <si>
    <t>611012-1157124</t>
  </si>
  <si>
    <t>갈원동</t>
  </si>
  <si>
    <t>과장</t>
  </si>
  <si>
    <t>휴대폰 제조업체 매출 현황</t>
    <phoneticPr fontId="3" type="noConversion"/>
  </si>
  <si>
    <t>연장수당</t>
    <phoneticPr fontId="2" type="noConversion"/>
  </si>
  <si>
    <t>&gt;=350000</t>
    <phoneticPr fontId="2" type="noConversion"/>
  </si>
  <si>
    <t>자격수당</t>
    <phoneticPr fontId="2" type="noConversion"/>
  </si>
  <si>
    <t>&gt;=500000</t>
    <phoneticPr fontId="2" type="noConversion"/>
  </si>
  <si>
    <t>판매지점</t>
    <phoneticPr fontId="2" type="noConversion"/>
  </si>
  <si>
    <t>할인율</t>
  </si>
  <si>
    <t>총비용합계</t>
  </si>
  <si>
    <t>평일할인</t>
  </si>
  <si>
    <t>휴일할인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</si>
  <si>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</si>
  <si>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</si>
  <si>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</si>
  <si>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</si>
  <si>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</si>
  <si>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</si>
  <si>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</si>
  <si>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생산지</t>
  </si>
  <si>
    <t>(모두)</t>
  </si>
  <si>
    <t>행 레이블</t>
  </si>
  <si>
    <t>GLS</t>
  </si>
  <si>
    <t>KS</t>
  </si>
  <si>
    <t>NIC</t>
  </si>
  <si>
    <t>SAMS</t>
  </si>
  <si>
    <t>총합계</t>
  </si>
  <si>
    <t>열 레이블</t>
  </si>
  <si>
    <t>레디안</t>
  </si>
  <si>
    <t>멀티규</t>
  </si>
  <si>
    <t>스카이</t>
  </si>
  <si>
    <t>애드콜</t>
  </si>
  <si>
    <t>콜맨</t>
  </si>
  <si>
    <t>큐텔</t>
  </si>
  <si>
    <t>흐르미</t>
  </si>
  <si>
    <t>2021년</t>
    <phoneticPr fontId="3" type="noConversion"/>
  </si>
  <si>
    <t>2022년</t>
    <phoneticPr fontId="3" type="noConversion"/>
  </si>
  <si>
    <t>2023년</t>
    <phoneticPr fontId="3" type="noConversion"/>
  </si>
  <si>
    <t>합계 : 2022년</t>
  </si>
  <si>
    <t>합계 : 2023년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</si>
</sst>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&quot;원&quot;"/>
  </numFmts>
  <fonts count="20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1"/>
      <name val="궁서체"/>
      <family val="1"/>
      <charset val="129"/>
    </font>
    <font>
      <sz val="11"/>
      <name val="맑은 고딕"/>
      <family val="3"/>
      <charset val="129"/>
    </font>
    <font>
      <sz val="14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indexed="18"/>
      <name val="맑은 고딕"/>
      <family val="2"/>
      <charset val="129"/>
    </font>
    <font>
      <sz val="11"/>
      <color indexed="18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6"/>
      <color theme="1"/>
      <name val="굴림체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4" applyNumberFormat="0" applyBorder="0">
      <alignment horizontal="center"/>
    </xf>
    <xf numFmtId="14" fontId="5" fillId="0" borderId="5" applyNumberFormat="0" applyBorder="0" applyAlignment="0"/>
  </cellStyleXfs>
  <cellXfs count="59">
    <xf numFmtId="0" fontId="0" fillId="0" borderId="0" xfId="0">
      <alignment vertical="center"/>
    </xf>
    <xf numFmtId="0" fontId="6" fillId="0" borderId="0" xfId="1" applyFont="1" applyAlignment="1">
      <alignment vertical="center"/>
    </xf>
    <xf numFmtId="14" fontId="6" fillId="0" borderId="0" xfId="1" applyNumberFormat="1" applyFont="1" applyAlignment="1">
      <alignment vertical="center"/>
    </xf>
    <xf numFmtId="0" fontId="6" fillId="0" borderId="1" xfId="1" applyFont="1" applyBorder="1" applyAlignment="1">
      <alignment horizontal="center" vertical="center"/>
    </xf>
    <xf numFmtId="41" fontId="6" fillId="0" borderId="1" xfId="2" applyFont="1" applyBorder="1" applyAlignment="1">
      <alignment vertical="center"/>
    </xf>
    <xf numFmtId="9" fontId="6" fillId="0" borderId="1" xfId="3" applyFont="1" applyBorder="1" applyAlignment="1">
      <alignment vertical="center"/>
    </xf>
    <xf numFmtId="0" fontId="6" fillId="0" borderId="1" xfId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0" fontId="6" fillId="0" borderId="0" xfId="1" applyFont="1" applyAlignment="1">
      <alignment horizontal="center" vertical="center"/>
    </xf>
    <xf numFmtId="41" fontId="6" fillId="0" borderId="1" xfId="1" applyNumberFormat="1" applyFont="1" applyBorder="1" applyAlignment="1">
      <alignment vertical="center"/>
    </xf>
    <xf numFmtId="9" fontId="6" fillId="0" borderId="1" xfId="1" applyNumberFormat="1" applyFont="1" applyBorder="1" applyAlignment="1">
      <alignment vertical="center"/>
    </xf>
    <xf numFmtId="0" fontId="6" fillId="0" borderId="0" xfId="1" applyFont="1" applyAlignment="1">
      <alignment horizontal="left" vertical="center"/>
    </xf>
    <xf numFmtId="41" fontId="8" fillId="0" borderId="1" xfId="2" applyFont="1" applyBorder="1" applyAlignment="1">
      <alignment horizontal="center" vertical="center"/>
    </xf>
    <xf numFmtId="9" fontId="6" fillId="0" borderId="1" xfId="1" applyNumberFormat="1" applyFont="1" applyBorder="1" applyAlignment="1">
      <alignment horizontal="center" vertical="center"/>
    </xf>
    <xf numFmtId="14" fontId="6" fillId="0" borderId="1" xfId="1" applyNumberFormat="1" applyFont="1" applyBorder="1" applyAlignment="1">
      <alignment horizontal="center" vertical="center"/>
    </xf>
    <xf numFmtId="0" fontId="6" fillId="0" borderId="1" xfId="2" applyNumberFormat="1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6" fillId="0" borderId="0" xfId="2" applyFont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41" fontId="8" fillId="0" borderId="1" xfId="2" applyFont="1" applyFill="1" applyBorder="1" applyAlignment="1">
      <alignment horizontal="center" vertical="center"/>
    </xf>
    <xf numFmtId="41" fontId="8" fillId="0" borderId="1" xfId="2" applyFont="1" applyBorder="1" applyAlignment="1">
      <alignment vertical="center"/>
    </xf>
    <xf numFmtId="0" fontId="8" fillId="0" borderId="1" xfId="2" applyNumberFormat="1" applyFont="1" applyBorder="1" applyAlignment="1">
      <alignment horizontal="center" vertical="center"/>
    </xf>
    <xf numFmtId="0" fontId="8" fillId="0" borderId="1" xfId="2" applyNumberFormat="1" applyFont="1" applyFill="1" applyBorder="1" applyAlignment="1">
      <alignment horizontal="center" vertical="center"/>
    </xf>
    <xf numFmtId="41" fontId="6" fillId="0" borderId="0" xfId="1" applyNumberFormat="1" applyFont="1" applyAlignment="1">
      <alignment horizontal="center" vertical="center"/>
    </xf>
    <xf numFmtId="0" fontId="8" fillId="0" borderId="1" xfId="3" applyNumberFormat="1" applyFont="1" applyBorder="1" applyAlignment="1">
      <alignment horizontal="center" vertical="center"/>
    </xf>
    <xf numFmtId="2" fontId="6" fillId="0" borderId="0" xfId="1" applyNumberFormat="1" applyFont="1" applyAlignment="1">
      <alignment horizontal="center" vertical="center"/>
    </xf>
    <xf numFmtId="41" fontId="0" fillId="0" borderId="0" xfId="0" applyNumberFormat="1">
      <alignment vertical="center"/>
    </xf>
    <xf numFmtId="9" fontId="0" fillId="0" borderId="0" xfId="0" applyNumberFormat="1">
      <alignment vertical="center"/>
    </xf>
    <xf numFmtId="41" fontId="0" fillId="0" borderId="7" xfId="0" applyNumberFormat="1" applyBorder="1">
      <alignment vertical="center"/>
    </xf>
    <xf numFmtId="0" fontId="13" fillId="3" borderId="8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13" fillId="3" borderId="6" xfId="0" applyFont="1" applyFill="1" applyBorder="1" applyAlignment="1">
      <alignment horizontal="left" vertical="center"/>
    </xf>
    <xf numFmtId="0" fontId="0" fillId="0" borderId="9" xfId="0" applyBorder="1">
      <alignment vertical="center"/>
    </xf>
    <xf numFmtId="0" fontId="14" fillId="4" borderId="0" xfId="0" applyFont="1" applyFill="1" applyAlignment="1">
      <alignment horizontal="left" vertical="center"/>
    </xf>
    <xf numFmtId="0" fontId="15" fillId="4" borderId="9" xfId="0" applyFont="1" applyFill="1" applyBorder="1" applyAlignment="1">
      <alignment horizontal="left" vertical="center"/>
    </xf>
    <xf numFmtId="0" fontId="16" fillId="4" borderId="9" xfId="0" applyFont="1" applyFill="1" applyBorder="1" applyAlignment="1">
      <alignment horizontal="left" vertical="center"/>
    </xf>
    <xf numFmtId="0" fontId="14" fillId="4" borderId="7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right" vertical="center"/>
    </xf>
    <xf numFmtId="0" fontId="12" fillId="3" borderId="8" xfId="0" applyFont="1" applyFill="1" applyBorder="1" applyAlignment="1">
      <alignment horizontal="right" vertical="center"/>
    </xf>
    <xf numFmtId="9" fontId="0" fillId="5" borderId="0" xfId="0" applyNumberFormat="1" applyFill="1">
      <alignment vertical="center"/>
    </xf>
    <xf numFmtId="0" fontId="17" fillId="0" borderId="0" xfId="0" applyFont="1" applyAlignment="1">
      <alignment vertical="top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8" fillId="6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19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6">
    <cellStyle name="굴림체" xfId="4" xr:uid="{00000000-0005-0000-0000-000000000000}"/>
    <cellStyle name="백분율 2" xfId="3" xr:uid="{00000000-0005-0000-0000-000001000000}"/>
    <cellStyle name="본문" xfId="5" xr:uid="{00000000-0005-0000-0000-000002000000}"/>
    <cellStyle name="쉼표 [0] 2" xfId="2" xr:uid="{00000000-0005-0000-0000-000003000000}"/>
    <cellStyle name="표준" xfId="0" builtinId="0"/>
    <cellStyle name="표준 2" xfId="1" xr:uid="{00000000-0005-0000-0000-000005000000}"/>
  </cellStyles>
  <dxfs count="3">
    <dxf>
      <numFmt numFmtId="33" formatCode="_-* #,##0_-;\-* #,##0_-;_-* &quot;-&quot;_-;_-@_-"/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>
                <a:latin typeface="굴림체" panose="020B0609000101010101" pitchFamily="49" charset="-127"/>
                <a:ea typeface="굴림체" panose="020B0609000101010101" pitchFamily="49" charset="-127"/>
              </a:rPr>
              <a:t>모델별 판매액과 판매이익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판매액</c:v>
                </c:pt>
              </c:strCache>
            </c:strRef>
          </c:tx>
          <c:invertIfNegative val="0"/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300</c:v>
                </c:pt>
                <c:pt idx="1">
                  <c:v>220</c:v>
                </c:pt>
                <c:pt idx="2">
                  <c:v>580</c:v>
                </c:pt>
                <c:pt idx="3">
                  <c:v>420</c:v>
                </c:pt>
                <c:pt idx="4">
                  <c:v>290</c:v>
                </c:pt>
                <c:pt idx="5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9-4043-99BD-507D543EE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734720"/>
        <c:axId val="106736256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판매이익</c:v>
                </c:pt>
              </c:strCache>
            </c:strRef>
          </c:tx>
          <c:dLbls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3-4EC0-97DC-AA8D858B3B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차트작업!$A$4:$A$9</c:f>
              <c:strCache>
                <c:ptCount val="6"/>
                <c:pt idx="0">
                  <c:v>IM400</c:v>
                </c:pt>
                <c:pt idx="1">
                  <c:v>PG100</c:v>
                </c:pt>
                <c:pt idx="2">
                  <c:v>LPX30</c:v>
                </c:pt>
                <c:pt idx="3">
                  <c:v>MS230</c:v>
                </c:pt>
                <c:pt idx="4">
                  <c:v>ST600</c:v>
                </c:pt>
                <c:pt idx="5">
                  <c:v>CH230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90</c:v>
                </c:pt>
                <c:pt idx="1">
                  <c:v>60</c:v>
                </c:pt>
                <c:pt idx="2">
                  <c:v>140</c:v>
                </c:pt>
                <c:pt idx="3">
                  <c:v>100</c:v>
                </c:pt>
                <c:pt idx="4">
                  <c:v>60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9-4043-99BD-507D543EE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40272"/>
        <c:axId val="102339856"/>
      </c:lineChart>
      <c:catAx>
        <c:axId val="106734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6736256"/>
        <c:crosses val="autoZero"/>
        <c:auto val="1"/>
        <c:lblAlgn val="ctr"/>
        <c:lblOffset val="100"/>
        <c:noMultiLvlLbl val="0"/>
      </c:catAx>
      <c:valAx>
        <c:axId val="106736256"/>
        <c:scaling>
          <c:orientation val="minMax"/>
          <c:max val="800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6734720"/>
        <c:crosses val="autoZero"/>
        <c:crossBetween val="between"/>
      </c:valAx>
      <c:valAx>
        <c:axId val="102339856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02340272"/>
        <c:crosses val="max"/>
        <c:crossBetween val="between"/>
      </c:valAx>
      <c:catAx>
        <c:axId val="10234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33985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0</xdr:colOff>
      <xdr:row>6</xdr:row>
      <xdr:rowOff>0</xdr:rowOff>
    </xdr:to>
    <xdr:sp macro="[0]!합계" textlink="">
      <xdr:nvSpPr>
        <xdr:cNvPr id="4" name="사각형: 빗면 1">
          <a:extLst>
            <a:ext uri="{FF2B5EF4-FFF2-40B4-BE49-F238E27FC236}">
              <a16:creationId xmlns:a16="http://schemas.microsoft.com/office/drawing/2014/main" id="{AE5D5387-93C7-CF7F-0363-16BA06910808}"/>
            </a:ext>
          </a:extLst>
        </xdr:cNvPr>
        <xdr:cNvSpPr/>
      </xdr:nvSpPr>
      <xdr:spPr>
        <a:xfrm>
          <a:off x="4695825" y="628650"/>
          <a:ext cx="1619250" cy="6286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[0]!서식" textlink="">
      <xdr:nvSpPr>
        <xdr:cNvPr id="5" name="해 1">
          <a:extLst>
            <a:ext uri="{FF2B5EF4-FFF2-40B4-BE49-F238E27FC236}">
              <a16:creationId xmlns:a16="http://schemas.microsoft.com/office/drawing/2014/main" id="{FC974EE2-A6AA-83D4-5D99-46032499F381}"/>
            </a:ext>
          </a:extLst>
        </xdr:cNvPr>
        <xdr:cNvSpPr/>
      </xdr:nvSpPr>
      <xdr:spPr>
        <a:xfrm>
          <a:off x="4695825" y="1466850"/>
          <a:ext cx="1619250" cy="628650"/>
        </a:xfrm>
        <a:prstGeom prst="su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5208.811252314816" createdVersion="8" refreshedVersion="8" minRefreshableVersion="3" recordCount="13" xr:uid="{B47B4315-0881-4985-AB89-06D5E74E769B}">
  <cacheSource type="worksheet">
    <worksheetSource ref="A4:I17" sheet="분석작업-2"/>
  </cacheSource>
  <cacheFields count="9">
    <cacheField name="브랜드명" numFmtId="0">
      <sharedItems count="7">
        <s v="스카이"/>
        <s v="흐르미"/>
        <s v="멀티규"/>
        <s v="큐텔"/>
        <s v="레디안"/>
        <s v="애드콜"/>
        <s v="콜맨"/>
      </sharedItems>
    </cacheField>
    <cacheField name="제조업체" numFmtId="0">
      <sharedItems count="4">
        <s v="KS"/>
        <s v="NIC"/>
        <s v="GLS"/>
        <s v="SAMS"/>
      </sharedItems>
    </cacheField>
    <cacheField name="생산지" numFmtId="0">
      <sharedItems count="3">
        <s v="미국"/>
        <s v="일본"/>
        <s v="한국"/>
      </sharedItems>
    </cacheField>
    <cacheField name="최신모델" numFmtId="0">
      <sharedItems/>
    </cacheField>
    <cacheField name="2020년" numFmtId="41">
      <sharedItems containsSemiMixedTypes="0" containsString="0" containsNumber="1" containsInteger="1" minValue="0" maxValue="43000"/>
    </cacheField>
    <cacheField name="2021년" numFmtId="41">
      <sharedItems containsSemiMixedTypes="0" containsString="0" containsNumber="1" containsInteger="1" minValue="16000" maxValue="52000"/>
    </cacheField>
    <cacheField name="2022년" numFmtId="41">
      <sharedItems containsSemiMixedTypes="0" containsString="0" containsNumber="1" containsInteger="1" minValue="19000" maxValue="56000"/>
    </cacheField>
    <cacheField name="2023년" numFmtId="41">
      <sharedItems containsSemiMixedTypes="0" containsString="0" containsNumber="1" containsInteger="1" minValue="15000" maxValue="66400"/>
    </cacheField>
    <cacheField name="평균매출액" numFmtId="41">
      <sharedItems containsSemiMixedTypes="0" containsString="0" containsNumber="1" containsInteger="1" minValue="16375" maxValue="498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s v="IM-7100"/>
    <n v="20000"/>
    <n v="24000"/>
    <n v="30000"/>
    <n v="34600"/>
    <n v="27150"/>
  </r>
  <r>
    <x v="1"/>
    <x v="1"/>
    <x v="1"/>
    <s v="MS-150"/>
    <n v="16000"/>
    <n v="18600"/>
    <n v="20000"/>
    <n v="24000"/>
    <n v="19650"/>
  </r>
  <r>
    <x v="2"/>
    <x v="1"/>
    <x v="1"/>
    <s v="SCP-A011 "/>
    <n v="12000"/>
    <n v="16000"/>
    <n v="19000"/>
    <n v="18500"/>
    <n v="16375"/>
  </r>
  <r>
    <x v="3"/>
    <x v="2"/>
    <x v="2"/>
    <s v="S2"/>
    <n v="18600"/>
    <n v="23500"/>
    <n v="26400"/>
    <n v="28800"/>
    <n v="24325"/>
  </r>
  <r>
    <x v="4"/>
    <x v="2"/>
    <x v="2"/>
    <s v="SD2100"/>
    <n v="21000"/>
    <n v="30000"/>
    <n v="32000"/>
    <n v="41000"/>
    <n v="31000"/>
  </r>
  <r>
    <x v="5"/>
    <x v="3"/>
    <x v="2"/>
    <s v="E-170"/>
    <n v="35000"/>
    <n v="42000"/>
    <n v="56000"/>
    <n v="66400"/>
    <n v="49850"/>
  </r>
  <r>
    <x v="6"/>
    <x v="3"/>
    <x v="2"/>
    <s v="E-2500"/>
    <n v="0"/>
    <n v="52000"/>
    <n v="26000"/>
    <n v="28400"/>
    <n v="26600"/>
  </r>
  <r>
    <x v="0"/>
    <x v="0"/>
    <x v="2"/>
    <s v="IM-8100"/>
    <n v="0"/>
    <n v="24000"/>
    <n v="26000"/>
    <n v="34000"/>
    <n v="21000"/>
  </r>
  <r>
    <x v="1"/>
    <x v="1"/>
    <x v="1"/>
    <s v="SCP-A012 "/>
    <n v="12000"/>
    <n v="16000"/>
    <n v="19000"/>
    <n v="18500"/>
    <n v="16375"/>
  </r>
  <r>
    <x v="3"/>
    <x v="2"/>
    <x v="2"/>
    <s v="S3"/>
    <n v="23500"/>
    <n v="32400"/>
    <n v="26400"/>
    <n v="23400"/>
    <n v="26425"/>
  </r>
  <r>
    <x v="4"/>
    <x v="2"/>
    <x v="2"/>
    <s v="SD2101"/>
    <n v="32100"/>
    <n v="21000"/>
    <n v="32000"/>
    <n v="32000"/>
    <n v="29275"/>
  </r>
  <r>
    <x v="5"/>
    <x v="3"/>
    <x v="2"/>
    <s v="E-171"/>
    <n v="43000"/>
    <n v="45200"/>
    <n v="32100"/>
    <n v="25000"/>
    <n v="36325"/>
  </r>
  <r>
    <x v="6"/>
    <x v="3"/>
    <x v="0"/>
    <s v="E-2600"/>
    <n v="0"/>
    <n v="32600"/>
    <n v="26000"/>
    <n v="15000"/>
    <n v="1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4803F-D257-4672-9BDF-C77B372B6EA0}" name="피벗 테이블1" cacheId="10" applyNumberFormats="0" applyBorderFormats="0" applyFontFormats="0" applyPatternFormats="0" applyAlignmentFormats="0" applyWidthHeightFormats="1" dataCaption="값" updatedVersion="8" minRefreshableVersion="3" useAutoFormatting="1" colGrandTotals="0" itemPrintTitles="1" mergeItem="1" createdVersion="8" indent="0" outline="1" outlineData="1" multipleFieldFilters="0">
  <location ref="A21:I31" firstHeaderRow="1" firstDataRow="3" firstDataCol="1" rowPageCount="1" colPageCount="1"/>
  <pivotFields count="9">
    <pivotField axis="axisRow" showAll="0">
      <items count="8">
        <item x="4"/>
        <item x="2"/>
        <item x="0"/>
        <item x="5"/>
        <item x="6"/>
        <item x="3"/>
        <item x="1"/>
        <item t="default"/>
      </items>
    </pivotField>
    <pivotField axis="axisCol" showAll="0">
      <items count="5">
        <item x="2"/>
        <item x="0"/>
        <item x="1"/>
        <item x="3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  <pivotField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2" hier="-1"/>
  </pageFields>
  <dataFields count="2">
    <dataField name="합계 : 2022년" fld="6" baseField="0" baseItem="0"/>
    <dataField name="합계 : 2023년" fld="7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workbookViewId="0"/>
  </sheetViews>
  <sheetFormatPr defaultRowHeight="16.5"/>
  <cols>
    <col min="1" max="1" width="11.25" style="1" bestFit="1" customWidth="1"/>
    <col min="2" max="2" width="9" style="1"/>
    <col min="3" max="3" width="18" style="1" bestFit="1" customWidth="1"/>
    <col min="4" max="4" width="9" style="1"/>
    <col min="5" max="5" width="12.875" style="1" bestFit="1" customWidth="1"/>
    <col min="6" max="16384" width="9" style="1"/>
  </cols>
  <sheetData>
    <row r="1" spans="1:7">
      <c r="A1" s="1" t="s">
        <v>3</v>
      </c>
    </row>
    <row r="3" spans="1:7">
      <c r="A3" s="1" t="s">
        <v>199</v>
      </c>
      <c r="B3" s="1" t="s">
        <v>16</v>
      </c>
      <c r="C3" s="1" t="s">
        <v>200</v>
      </c>
      <c r="D3" s="1" t="s">
        <v>201</v>
      </c>
      <c r="E3" s="1" t="s">
        <v>202</v>
      </c>
      <c r="F3" s="1" t="s">
        <v>139</v>
      </c>
      <c r="G3" s="1" t="s">
        <v>203</v>
      </c>
    </row>
    <row r="4" spans="1:7">
      <c r="A4" s="1" t="s">
        <v>204</v>
      </c>
      <c r="B4" s="1" t="s">
        <v>205</v>
      </c>
      <c r="C4" s="1" t="s">
        <v>206</v>
      </c>
      <c r="D4" s="1" t="s">
        <v>207</v>
      </c>
      <c r="E4" s="2">
        <v>45254</v>
      </c>
      <c r="F4" s="1" t="s">
        <v>208</v>
      </c>
      <c r="G4" s="1">
        <v>4500000</v>
      </c>
    </row>
    <row r="5" spans="1:7">
      <c r="A5" s="1" t="s">
        <v>209</v>
      </c>
      <c r="B5" s="1" t="s">
        <v>210</v>
      </c>
      <c r="C5" s="1" t="s">
        <v>211</v>
      </c>
      <c r="D5" s="1" t="s">
        <v>212</v>
      </c>
      <c r="E5" s="2">
        <v>45254</v>
      </c>
      <c r="F5" s="1" t="s">
        <v>213</v>
      </c>
      <c r="G5" s="1">
        <v>4300000</v>
      </c>
    </row>
    <row r="6" spans="1:7">
      <c r="A6" s="1" t="s">
        <v>214</v>
      </c>
      <c r="B6" s="1" t="s">
        <v>215</v>
      </c>
      <c r="C6" s="1" t="s">
        <v>216</v>
      </c>
      <c r="D6" s="1" t="s">
        <v>217</v>
      </c>
      <c r="E6" s="2">
        <v>45257</v>
      </c>
      <c r="F6" s="1" t="s">
        <v>213</v>
      </c>
      <c r="G6" s="1">
        <v>4000000</v>
      </c>
    </row>
    <row r="7" spans="1:7">
      <c r="A7" s="1" t="s">
        <v>218</v>
      </c>
      <c r="B7" s="1" t="s">
        <v>219</v>
      </c>
      <c r="C7" s="1" t="s">
        <v>220</v>
      </c>
      <c r="D7" s="1" t="s">
        <v>221</v>
      </c>
      <c r="E7" s="2">
        <v>45259</v>
      </c>
      <c r="F7" s="1" t="s">
        <v>208</v>
      </c>
      <c r="G7" s="1">
        <v>3750000</v>
      </c>
    </row>
    <row r="8" spans="1:7">
      <c r="A8" s="1" t="s">
        <v>222</v>
      </c>
      <c r="B8" s="1" t="s">
        <v>223</v>
      </c>
      <c r="C8" s="1" t="s">
        <v>224</v>
      </c>
      <c r="D8" s="1" t="s">
        <v>225</v>
      </c>
      <c r="E8" s="2">
        <v>45271</v>
      </c>
      <c r="F8" s="1" t="s">
        <v>213</v>
      </c>
      <c r="G8" s="1">
        <v>4220000</v>
      </c>
    </row>
    <row r="9" spans="1:7">
      <c r="A9" s="1" t="s">
        <v>226</v>
      </c>
      <c r="B9" s="1" t="s">
        <v>227</v>
      </c>
      <c r="C9" s="1" t="s">
        <v>228</v>
      </c>
      <c r="D9" s="1" t="s">
        <v>229</v>
      </c>
      <c r="E9" s="2">
        <v>45280</v>
      </c>
      <c r="F9" s="1" t="s">
        <v>230</v>
      </c>
      <c r="G9" s="1">
        <v>3240000</v>
      </c>
    </row>
  </sheetData>
  <phoneticPr fontId="2" type="noConversion"/>
  <printOptions headings="1" gridLines="1"/>
  <pageMargins left="0.75" right="0.75" top="1" bottom="1" header="0.5" footer="0.5"/>
  <pageSetup paperSize="9" orientation="portrait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4"/>
  <sheetViews>
    <sheetView workbookViewId="0">
      <selection sqref="A1:I1"/>
    </sheetView>
  </sheetViews>
  <sheetFormatPr defaultRowHeight="16.5"/>
  <cols>
    <col min="2" max="2" width="9.875" bestFit="1" customWidth="1"/>
    <col min="3" max="3" width="7.375" bestFit="1" customWidth="1"/>
    <col min="4" max="4" width="9.25" bestFit="1" customWidth="1"/>
    <col min="5" max="8" width="8.5" bestFit="1" customWidth="1"/>
    <col min="9" max="9" width="9.25" bestFit="1" customWidth="1"/>
    <col min="10" max="10" width="10.375" bestFit="1" customWidth="1"/>
  </cols>
  <sheetData>
    <row r="1" spans="1:9" ht="20.25">
      <c r="A1" s="49" t="s">
        <v>159</v>
      </c>
      <c r="B1" s="49"/>
      <c r="C1" s="49"/>
      <c r="D1" s="49"/>
      <c r="E1" s="49"/>
      <c r="F1" s="49"/>
      <c r="G1" s="49"/>
      <c r="H1" s="49"/>
      <c r="I1" s="49"/>
    </row>
    <row r="3" spans="1:9">
      <c r="A3" s="50" t="s">
        <v>160</v>
      </c>
      <c r="B3" s="50" t="s">
        <v>161</v>
      </c>
      <c r="C3" s="50" t="s">
        <v>162</v>
      </c>
      <c r="D3" s="50" t="s">
        <v>163</v>
      </c>
      <c r="E3" s="50" t="s">
        <v>164</v>
      </c>
      <c r="F3" s="50"/>
      <c r="G3" s="50"/>
      <c r="H3" s="50"/>
      <c r="I3" s="50" t="s">
        <v>165</v>
      </c>
    </row>
    <row r="4" spans="1:9">
      <c r="A4" s="50"/>
      <c r="B4" s="50"/>
      <c r="C4" s="50"/>
      <c r="D4" s="50"/>
      <c r="E4" s="47" t="s">
        <v>166</v>
      </c>
      <c r="F4" s="47" t="s">
        <v>167</v>
      </c>
      <c r="G4" s="47" t="s">
        <v>168</v>
      </c>
      <c r="H4" s="47" t="s">
        <v>169</v>
      </c>
      <c r="I4" s="50"/>
    </row>
    <row r="5" spans="1:9">
      <c r="A5" s="47" t="s">
        <v>170</v>
      </c>
      <c r="B5" s="47" t="s">
        <v>171</v>
      </c>
      <c r="C5" s="47" t="s">
        <v>172</v>
      </c>
      <c r="D5" s="47" t="s">
        <v>197</v>
      </c>
      <c r="E5" s="48">
        <v>4200</v>
      </c>
      <c r="F5" s="48">
        <v>3600</v>
      </c>
      <c r="G5" s="48">
        <v>2800</v>
      </c>
      <c r="H5" s="48">
        <v>6300</v>
      </c>
      <c r="I5" s="47">
        <f t="shared" ref="I5:I14" si="0">SUM(E5:H5)</f>
        <v>16900</v>
      </c>
    </row>
    <row r="6" spans="1:9">
      <c r="A6" s="47" t="s">
        <v>173</v>
      </c>
      <c r="B6" s="47" t="s">
        <v>174</v>
      </c>
      <c r="C6" s="47" t="s">
        <v>175</v>
      </c>
      <c r="D6" s="47" t="s">
        <v>264</v>
      </c>
      <c r="E6" s="48">
        <v>3960</v>
      </c>
      <c r="F6" s="48">
        <v>2980</v>
      </c>
      <c r="G6" s="48">
        <v>2640</v>
      </c>
      <c r="H6" s="48">
        <v>4450</v>
      </c>
      <c r="I6" s="47">
        <f t="shared" si="0"/>
        <v>14030</v>
      </c>
    </row>
    <row r="7" spans="1:9">
      <c r="A7" s="47" t="s">
        <v>176</v>
      </c>
      <c r="B7" s="47" t="s">
        <v>177</v>
      </c>
      <c r="C7" s="47" t="s">
        <v>172</v>
      </c>
      <c r="D7" s="47" t="s">
        <v>195</v>
      </c>
      <c r="E7" s="48">
        <v>5600</v>
      </c>
      <c r="F7" s="48">
        <v>4760</v>
      </c>
      <c r="G7" s="48">
        <v>3990</v>
      </c>
      <c r="H7" s="48">
        <v>6880</v>
      </c>
      <c r="I7" s="47">
        <f t="shared" si="0"/>
        <v>21230</v>
      </c>
    </row>
    <row r="8" spans="1:9">
      <c r="A8" s="47" t="s">
        <v>178</v>
      </c>
      <c r="B8" s="47" t="s">
        <v>179</v>
      </c>
      <c r="C8" s="47" t="s">
        <v>180</v>
      </c>
      <c r="D8" s="47" t="s">
        <v>264</v>
      </c>
      <c r="E8" s="48">
        <v>3390</v>
      </c>
      <c r="F8" s="48">
        <v>3760</v>
      </c>
      <c r="G8" s="48">
        <v>3000</v>
      </c>
      <c r="H8" s="48">
        <v>4500</v>
      </c>
      <c r="I8" s="47">
        <f t="shared" si="0"/>
        <v>14650</v>
      </c>
    </row>
    <row r="9" spans="1:9">
      <c r="A9" s="47" t="s">
        <v>181</v>
      </c>
      <c r="B9" s="47" t="s">
        <v>182</v>
      </c>
      <c r="C9" s="47" t="s">
        <v>180</v>
      </c>
      <c r="D9" s="47" t="s">
        <v>194</v>
      </c>
      <c r="E9" s="48">
        <v>3280</v>
      </c>
      <c r="F9" s="48">
        <v>3540</v>
      </c>
      <c r="G9" s="48">
        <v>2080</v>
      </c>
      <c r="H9" s="48">
        <v>3700</v>
      </c>
      <c r="I9" s="47">
        <f t="shared" si="0"/>
        <v>12600</v>
      </c>
    </row>
    <row r="10" spans="1:9">
      <c r="A10" s="47" t="s">
        <v>183</v>
      </c>
      <c r="B10" s="47" t="s">
        <v>184</v>
      </c>
      <c r="C10" s="47" t="s">
        <v>180</v>
      </c>
      <c r="D10" s="47" t="s">
        <v>193</v>
      </c>
      <c r="E10" s="48">
        <v>4270</v>
      </c>
      <c r="F10" s="48">
        <v>3330</v>
      </c>
      <c r="G10" s="48">
        <v>3060</v>
      </c>
      <c r="H10" s="48">
        <v>3890</v>
      </c>
      <c r="I10" s="47">
        <f t="shared" si="0"/>
        <v>14550</v>
      </c>
    </row>
    <row r="11" spans="1:9">
      <c r="A11" s="47" t="s">
        <v>185</v>
      </c>
      <c r="B11" s="47" t="s">
        <v>186</v>
      </c>
      <c r="C11" s="47" t="s">
        <v>187</v>
      </c>
      <c r="D11" s="47" t="s">
        <v>196</v>
      </c>
      <c r="E11" s="48">
        <v>4190</v>
      </c>
      <c r="F11" s="48">
        <v>4020</v>
      </c>
      <c r="G11" s="48">
        <v>4780</v>
      </c>
      <c r="H11" s="48">
        <v>6100</v>
      </c>
      <c r="I11" s="47">
        <f t="shared" si="0"/>
        <v>19090</v>
      </c>
    </row>
    <row r="12" spans="1:9">
      <c r="A12" s="47" t="s">
        <v>188</v>
      </c>
      <c r="B12" s="47" t="s">
        <v>189</v>
      </c>
      <c r="C12" s="47" t="s">
        <v>187</v>
      </c>
      <c r="D12" s="47" t="s">
        <v>265</v>
      </c>
      <c r="E12" s="48">
        <v>3830</v>
      </c>
      <c r="F12" s="48">
        <v>4320</v>
      </c>
      <c r="G12" s="48">
        <v>5000</v>
      </c>
      <c r="H12" s="48">
        <v>6000</v>
      </c>
      <c r="I12" s="47">
        <f t="shared" si="0"/>
        <v>19150</v>
      </c>
    </row>
    <row r="13" spans="1:9">
      <c r="A13" s="47" t="s">
        <v>190</v>
      </c>
      <c r="B13" s="47" t="s">
        <v>191</v>
      </c>
      <c r="C13" s="47" t="s">
        <v>175</v>
      </c>
      <c r="D13" s="47" t="s">
        <v>266</v>
      </c>
      <c r="E13" s="48">
        <v>2010</v>
      </c>
      <c r="F13" s="48">
        <v>2020</v>
      </c>
      <c r="G13" s="48">
        <v>2400</v>
      </c>
      <c r="H13" s="48">
        <v>2350</v>
      </c>
      <c r="I13" s="47">
        <f t="shared" si="0"/>
        <v>8780</v>
      </c>
    </row>
    <row r="14" spans="1:9">
      <c r="A14" s="47" t="s">
        <v>192</v>
      </c>
      <c r="B14" s="47" t="s">
        <v>0</v>
      </c>
      <c r="C14" s="47" t="s">
        <v>175</v>
      </c>
      <c r="D14" s="47" t="s">
        <v>266</v>
      </c>
      <c r="E14" s="48">
        <v>1980</v>
      </c>
      <c r="F14" s="48">
        <v>2010</v>
      </c>
      <c r="G14" s="48">
        <v>2300</v>
      </c>
      <c r="H14" s="48">
        <v>2400</v>
      </c>
      <c r="I14" s="47">
        <f t="shared" si="0"/>
        <v>8690</v>
      </c>
    </row>
  </sheetData>
  <mergeCells count="7">
    <mergeCell ref="A1:I1"/>
    <mergeCell ref="I3:I4"/>
    <mergeCell ref="E3:H3"/>
    <mergeCell ref="D3:D4"/>
    <mergeCell ref="C3:C4"/>
    <mergeCell ref="B3:B4"/>
    <mergeCell ref="A3:A4"/>
  </mergeCells>
  <phoneticPr fontId="2" type="noConversion"/>
  <printOptions headings="1" gridLines="1"/>
  <pageMargins left="0.75" right="0.75" top="0.41" bottom="1" header="0.28000000000000003" footer="0.5"/>
  <pageSetup paperSize="9" orientation="landscape" r:id="rId1"/>
  <headerFooter alignWithMargins="0">
    <oddFooter>&amp;C&amp;F&amp;A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3"/>
  <sheetViews>
    <sheetView workbookViewId="0">
      <selection sqref="A1:G1"/>
    </sheetView>
  </sheetViews>
  <sheetFormatPr defaultRowHeight="16.5"/>
  <cols>
    <col min="1" max="2" width="10.25" style="1" customWidth="1"/>
    <col min="3" max="3" width="13" style="1" bestFit="1" customWidth="1"/>
    <col min="4" max="6" width="11.125" style="1" bestFit="1" customWidth="1"/>
    <col min="7" max="7" width="13" style="1" bestFit="1" customWidth="1"/>
    <col min="8" max="16384" width="9" style="1"/>
  </cols>
  <sheetData>
    <row r="1" spans="1:7" ht="26.25">
      <c r="A1" s="51" t="s">
        <v>138</v>
      </c>
      <c r="B1" s="51"/>
      <c r="C1" s="51"/>
      <c r="D1" s="51"/>
      <c r="E1" s="51"/>
      <c r="F1" s="51"/>
      <c r="G1" s="51"/>
    </row>
    <row r="3" spans="1:7">
      <c r="A3" s="3" t="s">
        <v>16</v>
      </c>
      <c r="B3" s="3" t="s">
        <v>139</v>
      </c>
      <c r="C3" s="3" t="s">
        <v>140</v>
      </c>
      <c r="D3" s="3" t="s">
        <v>141</v>
      </c>
      <c r="E3" s="3" t="s">
        <v>142</v>
      </c>
      <c r="F3" s="3" t="s">
        <v>143</v>
      </c>
      <c r="G3" s="3" t="s">
        <v>144</v>
      </c>
    </row>
    <row r="4" spans="1:7">
      <c r="A4" s="3" t="s">
        <v>145</v>
      </c>
      <c r="B4" s="3" t="s">
        <v>146</v>
      </c>
      <c r="C4" s="20">
        <v>1000000</v>
      </c>
      <c r="D4" s="20">
        <v>500000</v>
      </c>
      <c r="E4" s="20">
        <v>400000</v>
      </c>
      <c r="F4" s="20">
        <f>C4*18%</f>
        <v>180000</v>
      </c>
      <c r="G4" s="20">
        <f>SUM(C4:F4)</f>
        <v>2080000</v>
      </c>
    </row>
    <row r="5" spans="1:7">
      <c r="A5" s="3" t="s">
        <v>147</v>
      </c>
      <c r="B5" s="3" t="s">
        <v>148</v>
      </c>
      <c r="C5" s="20">
        <v>900000</v>
      </c>
      <c r="D5" s="20">
        <v>300000</v>
      </c>
      <c r="E5" s="20">
        <v>270000</v>
      </c>
      <c r="F5" s="20">
        <f>C5*15%</f>
        <v>135000</v>
      </c>
      <c r="G5" s="20">
        <f t="shared" ref="G5:G13" si="0">SUM(C5:F5)</f>
        <v>1605000</v>
      </c>
    </row>
    <row r="6" spans="1:7">
      <c r="A6" s="3" t="s">
        <v>149</v>
      </c>
      <c r="B6" s="3" t="s">
        <v>148</v>
      </c>
      <c r="C6" s="20">
        <v>950000</v>
      </c>
      <c r="D6" s="20">
        <v>350000</v>
      </c>
      <c r="E6" s="20">
        <v>280000</v>
      </c>
      <c r="F6" s="20">
        <f>C6*15%</f>
        <v>142500</v>
      </c>
      <c r="G6" s="20">
        <f t="shared" si="0"/>
        <v>1722500</v>
      </c>
    </row>
    <row r="7" spans="1:7">
      <c r="A7" s="3" t="s">
        <v>150</v>
      </c>
      <c r="B7" s="3" t="s">
        <v>151</v>
      </c>
      <c r="C7" s="20">
        <v>1800000</v>
      </c>
      <c r="D7" s="20">
        <v>900000</v>
      </c>
      <c r="E7" s="20">
        <v>600000</v>
      </c>
      <c r="F7" s="20">
        <f>C7*20%</f>
        <v>360000</v>
      </c>
      <c r="G7" s="20">
        <f t="shared" si="0"/>
        <v>3660000</v>
      </c>
    </row>
    <row r="8" spans="1:7">
      <c r="A8" s="3" t="s">
        <v>152</v>
      </c>
      <c r="B8" s="3" t="s">
        <v>146</v>
      </c>
      <c r="C8" s="20">
        <v>1200000</v>
      </c>
      <c r="D8" s="20">
        <v>600000</v>
      </c>
      <c r="E8" s="20">
        <v>500000</v>
      </c>
      <c r="F8" s="20">
        <f>C8*18%</f>
        <v>216000</v>
      </c>
      <c r="G8" s="20">
        <f t="shared" si="0"/>
        <v>2516000</v>
      </c>
    </row>
    <row r="9" spans="1:7">
      <c r="A9" s="3" t="s">
        <v>153</v>
      </c>
      <c r="B9" s="3" t="s">
        <v>146</v>
      </c>
      <c r="C9" s="20">
        <v>1100000</v>
      </c>
      <c r="D9" s="20">
        <v>550000</v>
      </c>
      <c r="E9" s="20">
        <v>450000</v>
      </c>
      <c r="F9" s="20">
        <f>C9*18%</f>
        <v>198000</v>
      </c>
      <c r="G9" s="20">
        <f t="shared" si="0"/>
        <v>2298000</v>
      </c>
    </row>
    <row r="10" spans="1:7">
      <c r="A10" s="3" t="s">
        <v>154</v>
      </c>
      <c r="B10" s="3" t="s">
        <v>155</v>
      </c>
      <c r="C10" s="20">
        <v>800000</v>
      </c>
      <c r="D10" s="20">
        <v>250000</v>
      </c>
      <c r="E10" s="20">
        <v>200000</v>
      </c>
      <c r="F10" s="20">
        <f>C10*10%</f>
        <v>80000</v>
      </c>
      <c r="G10" s="20">
        <f t="shared" si="0"/>
        <v>1330000</v>
      </c>
    </row>
    <row r="11" spans="1:7">
      <c r="A11" s="3" t="s">
        <v>156</v>
      </c>
      <c r="B11" s="3" t="s">
        <v>155</v>
      </c>
      <c r="C11" s="20">
        <v>850000</v>
      </c>
      <c r="D11" s="20">
        <v>280000</v>
      </c>
      <c r="E11" s="20">
        <v>220000</v>
      </c>
      <c r="F11" s="20">
        <f>C11*10%</f>
        <v>85000</v>
      </c>
      <c r="G11" s="20">
        <f t="shared" si="0"/>
        <v>1435000</v>
      </c>
    </row>
    <row r="12" spans="1:7">
      <c r="A12" s="3" t="s">
        <v>157</v>
      </c>
      <c r="B12" s="3" t="s">
        <v>148</v>
      </c>
      <c r="C12" s="20">
        <v>900000</v>
      </c>
      <c r="D12" s="20">
        <v>370000</v>
      </c>
      <c r="E12" s="20">
        <v>300000</v>
      </c>
      <c r="F12" s="20">
        <f>C12*15%</f>
        <v>135000</v>
      </c>
      <c r="G12" s="20">
        <f t="shared" si="0"/>
        <v>1705000</v>
      </c>
    </row>
    <row r="13" spans="1:7">
      <c r="A13" s="3" t="s">
        <v>158</v>
      </c>
      <c r="B13" s="3" t="s">
        <v>146</v>
      </c>
      <c r="C13" s="20">
        <v>1200000</v>
      </c>
      <c r="D13" s="20">
        <v>600000</v>
      </c>
      <c r="E13" s="20">
        <v>500000</v>
      </c>
      <c r="F13" s="20">
        <f>C13*18%</f>
        <v>216000</v>
      </c>
      <c r="G13" s="20">
        <f t="shared" si="0"/>
        <v>2516000</v>
      </c>
    </row>
    <row r="16" spans="1:7" s="8" customFormat="1">
      <c r="A16" s="8" t="s">
        <v>232</v>
      </c>
      <c r="B16" s="8" t="s">
        <v>234</v>
      </c>
    </row>
    <row r="17" spans="1:7" s="8" customFormat="1">
      <c r="A17" s="8" t="s">
        <v>233</v>
      </c>
      <c r="B17" s="8" t="s">
        <v>235</v>
      </c>
    </row>
    <row r="18" spans="1:7" s="8" customFormat="1"/>
    <row r="20" spans="1:7">
      <c r="A20" s="3" t="s">
        <v>16</v>
      </c>
      <c r="B20" s="3" t="s">
        <v>139</v>
      </c>
      <c r="C20" s="3" t="s">
        <v>140</v>
      </c>
      <c r="D20" s="3" t="s">
        <v>141</v>
      </c>
      <c r="E20" s="3" t="s">
        <v>142</v>
      </c>
      <c r="F20" s="3" t="s">
        <v>143</v>
      </c>
      <c r="G20" s="3" t="s">
        <v>144</v>
      </c>
    </row>
    <row r="21" spans="1:7">
      <c r="A21" s="3" t="s">
        <v>150</v>
      </c>
      <c r="B21" s="3" t="s">
        <v>151</v>
      </c>
      <c r="C21" s="20">
        <v>1800000</v>
      </c>
      <c r="D21" s="20">
        <v>900000</v>
      </c>
      <c r="E21" s="20">
        <v>600000</v>
      </c>
      <c r="F21" s="20">
        <v>360000</v>
      </c>
      <c r="G21" s="20">
        <v>3660000</v>
      </c>
    </row>
    <row r="22" spans="1:7">
      <c r="A22" s="3" t="s">
        <v>152</v>
      </c>
      <c r="B22" s="3" t="s">
        <v>146</v>
      </c>
      <c r="C22" s="20">
        <v>1200000</v>
      </c>
      <c r="D22" s="20">
        <v>600000</v>
      </c>
      <c r="E22" s="20">
        <v>500000</v>
      </c>
      <c r="F22" s="20">
        <v>216000</v>
      </c>
      <c r="G22" s="20">
        <v>2516000</v>
      </c>
    </row>
    <row r="23" spans="1:7">
      <c r="A23" s="3" t="s">
        <v>158</v>
      </c>
      <c r="B23" s="3" t="s">
        <v>146</v>
      </c>
      <c r="C23" s="20">
        <v>1200000</v>
      </c>
      <c r="D23" s="20">
        <v>600000</v>
      </c>
      <c r="E23" s="20">
        <v>500000</v>
      </c>
      <c r="F23" s="20">
        <v>216000</v>
      </c>
      <c r="G23" s="20">
        <v>2516000</v>
      </c>
    </row>
  </sheetData>
  <mergeCells count="1">
    <mergeCell ref="A1:G1"/>
  </mergeCells>
  <phoneticPr fontId="2" type="noConversion"/>
  <conditionalFormatting sqref="A3:G3">
    <cfRule type="expression" dxfId="2" priority="2" stopIfTrue="1">
      <formula>$C3="30대"</formula>
    </cfRule>
  </conditionalFormatting>
  <conditionalFormatting sqref="A20:G20">
    <cfRule type="expression" dxfId="1" priority="1" stopIfTrue="1">
      <formula>$C20="30대"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1"/>
  <sheetViews>
    <sheetView workbookViewId="0"/>
  </sheetViews>
  <sheetFormatPr defaultRowHeight="16.5"/>
  <cols>
    <col min="1" max="1" width="13.75" style="8" customWidth="1"/>
    <col min="2" max="2" width="13.25" style="8" bestFit="1" customWidth="1"/>
    <col min="3" max="3" width="17.375" style="8" bestFit="1" customWidth="1"/>
    <col min="4" max="4" width="13" style="8" bestFit="1" customWidth="1"/>
    <col min="5" max="5" width="5.125" style="8" customWidth="1"/>
    <col min="6" max="6" width="9" style="8"/>
    <col min="7" max="7" width="13.125" style="8" bestFit="1" customWidth="1"/>
    <col min="8" max="8" width="13.25" style="8" bestFit="1" customWidth="1"/>
    <col min="9" max="9" width="3.5" style="8" customWidth="1"/>
    <col min="10" max="10" width="12.5" style="8" customWidth="1"/>
    <col min="11" max="11" width="13.125" style="8" bestFit="1" customWidth="1"/>
    <col min="12" max="16384" width="9" style="8"/>
  </cols>
  <sheetData>
    <row r="1" spans="1:11">
      <c r="A1" s="11" t="s">
        <v>81</v>
      </c>
      <c r="F1" s="11" t="s">
        <v>82</v>
      </c>
      <c r="J1" s="1"/>
    </row>
    <row r="2" spans="1:11">
      <c r="A2" s="3" t="s">
        <v>83</v>
      </c>
      <c r="B2" s="3" t="s">
        <v>84</v>
      </c>
      <c r="C2" s="3" t="s">
        <v>85</v>
      </c>
      <c r="D2" s="3" t="s">
        <v>86</v>
      </c>
      <c r="F2" s="3" t="s">
        <v>87</v>
      </c>
      <c r="G2" s="3" t="s">
        <v>88</v>
      </c>
      <c r="H2" s="3" t="s">
        <v>89</v>
      </c>
    </row>
    <row r="3" spans="1:11">
      <c r="A3" s="3" t="s">
        <v>90</v>
      </c>
      <c r="B3" s="12">
        <v>268</v>
      </c>
      <c r="C3" s="12">
        <v>1500</v>
      </c>
      <c r="D3" s="12">
        <f>B3*C3</f>
        <v>402000</v>
      </c>
      <c r="F3" s="13">
        <v>0.5</v>
      </c>
      <c r="G3" s="14">
        <v>45229</v>
      </c>
      <c r="H3" s="15" t="s">
        <v>91</v>
      </c>
    </row>
    <row r="4" spans="1:11">
      <c r="A4" s="3" t="s">
        <v>92</v>
      </c>
      <c r="B4" s="12">
        <v>285</v>
      </c>
      <c r="C4" s="12">
        <v>1800</v>
      </c>
      <c r="D4" s="12">
        <f t="shared" ref="D4:D11" si="0">B4*C4</f>
        <v>513000</v>
      </c>
      <c r="F4" s="13">
        <v>0.36</v>
      </c>
      <c r="G4" s="14">
        <v>45194</v>
      </c>
      <c r="H4" s="16" t="s">
        <v>93</v>
      </c>
      <c r="J4" s="17"/>
    </row>
    <row r="5" spans="1:11">
      <c r="A5" s="3" t="s">
        <v>94</v>
      </c>
      <c r="B5" s="12">
        <v>342</v>
      </c>
      <c r="C5" s="12">
        <v>2000</v>
      </c>
      <c r="D5" s="12">
        <f t="shared" si="0"/>
        <v>684000</v>
      </c>
      <c r="F5" s="13">
        <v>0.39</v>
      </c>
      <c r="G5" s="14">
        <v>45187</v>
      </c>
      <c r="H5" s="16" t="s">
        <v>95</v>
      </c>
      <c r="J5" s="16" t="s">
        <v>96</v>
      </c>
      <c r="K5" s="18" t="s">
        <v>89</v>
      </c>
    </row>
    <row r="6" spans="1:11">
      <c r="A6" s="3" t="s">
        <v>97</v>
      </c>
      <c r="B6" s="12">
        <v>198</v>
      </c>
      <c r="C6" s="12">
        <v>1600</v>
      </c>
      <c r="D6" s="12">
        <f t="shared" si="0"/>
        <v>316800</v>
      </c>
      <c r="F6" s="13">
        <v>0.55000000000000004</v>
      </c>
      <c r="G6" s="14">
        <v>45232</v>
      </c>
      <c r="H6" s="16" t="s">
        <v>98</v>
      </c>
      <c r="J6" s="15">
        <v>1</v>
      </c>
      <c r="K6" s="3" t="str">
        <f>VLOOKUP(LARGE($F$3:$F$11,J6),$F$3:$H$11,3,FALSE)</f>
        <v>BRK펀드</v>
      </c>
    </row>
    <row r="7" spans="1:11">
      <c r="A7" s="3" t="s">
        <v>99</v>
      </c>
      <c r="B7" s="12">
        <v>264</v>
      </c>
      <c r="C7" s="12">
        <v>2100</v>
      </c>
      <c r="D7" s="12">
        <f t="shared" si="0"/>
        <v>554400</v>
      </c>
      <c r="F7" s="13">
        <v>0.4</v>
      </c>
      <c r="G7" s="14">
        <v>45210</v>
      </c>
      <c r="H7" s="16" t="s">
        <v>100</v>
      </c>
      <c r="J7" s="15">
        <v>2</v>
      </c>
      <c r="K7" s="3" t="str">
        <f>VLOOKUP(LARGE($F$3:$F$11,J7),$F$3:$H$11,3,FALSE)</f>
        <v>재테크펀드</v>
      </c>
    </row>
    <row r="8" spans="1:11">
      <c r="A8" s="3" t="s">
        <v>101</v>
      </c>
      <c r="B8" s="12">
        <v>400</v>
      </c>
      <c r="C8" s="12">
        <v>1500</v>
      </c>
      <c r="D8" s="12">
        <f t="shared" si="0"/>
        <v>600000</v>
      </c>
      <c r="F8" s="13">
        <v>0.42</v>
      </c>
      <c r="G8" s="14">
        <v>45204</v>
      </c>
      <c r="H8" s="16" t="s">
        <v>102</v>
      </c>
      <c r="J8" s="17"/>
    </row>
    <row r="9" spans="1:11">
      <c r="A9" s="3" t="s">
        <v>103</v>
      </c>
      <c r="B9" s="12">
        <v>268</v>
      </c>
      <c r="C9" s="12">
        <v>2000</v>
      </c>
      <c r="D9" s="12">
        <f t="shared" si="0"/>
        <v>536000</v>
      </c>
      <c r="F9" s="13">
        <v>0.39</v>
      </c>
      <c r="G9" s="14">
        <v>45236</v>
      </c>
      <c r="H9" s="16" t="s">
        <v>104</v>
      </c>
      <c r="J9" s="17"/>
    </row>
    <row r="10" spans="1:11">
      <c r="A10" s="3" t="s">
        <v>105</v>
      </c>
      <c r="B10" s="12">
        <v>329</v>
      </c>
      <c r="C10" s="12">
        <v>1700</v>
      </c>
      <c r="D10" s="12">
        <f t="shared" si="0"/>
        <v>559300</v>
      </c>
      <c r="F10" s="13">
        <v>0.51</v>
      </c>
      <c r="G10" s="14">
        <v>45198</v>
      </c>
      <c r="H10" s="4" t="s">
        <v>106</v>
      </c>
      <c r="J10" s="17"/>
    </row>
    <row r="11" spans="1:11">
      <c r="A11" s="3" t="s">
        <v>107</v>
      </c>
      <c r="B11" s="19">
        <v>311</v>
      </c>
      <c r="C11" s="12">
        <v>1400</v>
      </c>
      <c r="D11" s="12">
        <f t="shared" si="0"/>
        <v>435400</v>
      </c>
      <c r="F11" s="13">
        <v>0.3</v>
      </c>
      <c r="G11" s="14">
        <v>45208</v>
      </c>
      <c r="H11" s="4" t="s">
        <v>108</v>
      </c>
      <c r="J11" s="17"/>
    </row>
    <row r="12" spans="1:11">
      <c r="A12" s="52" t="s">
        <v>109</v>
      </c>
      <c r="B12" s="52"/>
      <c r="C12" s="52"/>
      <c r="D12" s="20">
        <f>SUMIF(A3:A11,"*사과",D3:D11)</f>
        <v>1754200</v>
      </c>
      <c r="F12" s="1"/>
      <c r="G12" s="1"/>
      <c r="H12" s="1"/>
      <c r="I12" s="1"/>
      <c r="J12" s="1"/>
    </row>
    <row r="13" spans="1:11">
      <c r="A13" s="1"/>
      <c r="B13" s="1"/>
      <c r="C13" s="1"/>
      <c r="J13" s="1"/>
    </row>
    <row r="14" spans="1:11">
      <c r="A14" s="11" t="s">
        <v>110</v>
      </c>
      <c r="F14" s="11" t="s">
        <v>111</v>
      </c>
    </row>
    <row r="15" spans="1:11">
      <c r="A15" s="3" t="s">
        <v>112</v>
      </c>
      <c r="B15" s="3" t="s">
        <v>113</v>
      </c>
      <c r="C15" s="3" t="s">
        <v>114</v>
      </c>
      <c r="D15" s="18" t="s">
        <v>115</v>
      </c>
      <c r="F15" s="3" t="s">
        <v>116</v>
      </c>
      <c r="G15" s="3" t="s">
        <v>117</v>
      </c>
      <c r="H15" s="3" t="s">
        <v>118</v>
      </c>
    </row>
    <row r="16" spans="1:11">
      <c r="A16" s="21">
        <v>100</v>
      </c>
      <c r="B16" s="22">
        <v>85</v>
      </c>
      <c r="C16" s="22">
        <v>50</v>
      </c>
      <c r="D16" s="3">
        <f>IF(A16&gt;=B16,0,MIN(B16-A16,C16))</f>
        <v>0</v>
      </c>
      <c r="E16" s="23"/>
      <c r="F16" s="3" t="s">
        <v>119</v>
      </c>
      <c r="G16" s="24">
        <v>10</v>
      </c>
      <c r="H16" s="3">
        <v>0</v>
      </c>
      <c r="I16" s="25"/>
    </row>
    <row r="17" spans="1:10">
      <c r="A17" s="21">
        <v>98</v>
      </c>
      <c r="B17" s="22">
        <v>75</v>
      </c>
      <c r="C17" s="22">
        <v>46</v>
      </c>
      <c r="D17" s="3">
        <f t="shared" ref="D17:D25" si="1">IF(A17&gt;=B17,0,MIN(B17-A17,C17))</f>
        <v>0</v>
      </c>
      <c r="E17" s="23"/>
      <c r="F17" s="3" t="s">
        <v>120</v>
      </c>
      <c r="G17" s="24">
        <v>8</v>
      </c>
      <c r="H17" s="3">
        <v>1</v>
      </c>
      <c r="I17" s="25"/>
    </row>
    <row r="18" spans="1:10">
      <c r="A18" s="21">
        <v>75</v>
      </c>
      <c r="B18" s="22">
        <v>100</v>
      </c>
      <c r="C18" s="22">
        <v>55</v>
      </c>
      <c r="D18" s="3">
        <f t="shared" si="1"/>
        <v>25</v>
      </c>
      <c r="E18" s="23"/>
      <c r="F18" s="3" t="s">
        <v>121</v>
      </c>
      <c r="G18" s="24">
        <v>11</v>
      </c>
      <c r="H18" s="3">
        <v>3</v>
      </c>
      <c r="I18" s="25"/>
    </row>
    <row r="19" spans="1:10">
      <c r="A19" s="21">
        <v>48</v>
      </c>
      <c r="B19" s="22">
        <v>70</v>
      </c>
      <c r="C19" s="22">
        <v>10</v>
      </c>
      <c r="D19" s="3">
        <f t="shared" si="1"/>
        <v>10</v>
      </c>
      <c r="E19" s="23"/>
      <c r="F19" s="3" t="s">
        <v>122</v>
      </c>
      <c r="G19" s="24">
        <v>9</v>
      </c>
      <c r="H19" s="3">
        <v>2</v>
      </c>
      <c r="I19" s="25"/>
    </row>
    <row r="20" spans="1:10">
      <c r="A20" s="21">
        <v>65</v>
      </c>
      <c r="B20" s="22">
        <v>90</v>
      </c>
      <c r="C20" s="22">
        <v>33</v>
      </c>
      <c r="D20" s="3">
        <f t="shared" si="1"/>
        <v>25</v>
      </c>
      <c r="E20" s="23"/>
      <c r="F20" s="3" t="s">
        <v>123</v>
      </c>
      <c r="G20" s="24">
        <v>9</v>
      </c>
      <c r="H20" s="3">
        <v>0</v>
      </c>
      <c r="I20" s="25"/>
    </row>
    <row r="21" spans="1:10">
      <c r="A21" s="21">
        <v>78</v>
      </c>
      <c r="B21" s="22">
        <v>50</v>
      </c>
      <c r="C21" s="22">
        <v>18</v>
      </c>
      <c r="D21" s="3">
        <f t="shared" si="1"/>
        <v>0</v>
      </c>
      <c r="E21" s="23"/>
      <c r="F21" s="3" t="s">
        <v>124</v>
      </c>
      <c r="G21" s="24">
        <v>10</v>
      </c>
      <c r="H21" s="3">
        <v>2</v>
      </c>
      <c r="I21" s="25"/>
    </row>
    <row r="22" spans="1:10">
      <c r="A22" s="21">
        <v>43</v>
      </c>
      <c r="B22" s="22">
        <v>60</v>
      </c>
      <c r="C22" s="22">
        <v>10</v>
      </c>
      <c r="D22" s="3">
        <f t="shared" si="1"/>
        <v>10</v>
      </c>
      <c r="E22" s="23"/>
      <c r="F22" s="3" t="s">
        <v>125</v>
      </c>
      <c r="G22" s="24">
        <v>12</v>
      </c>
      <c r="H22" s="3">
        <v>0</v>
      </c>
      <c r="I22" s="25"/>
    </row>
    <row r="23" spans="1:10">
      <c r="A23" s="21">
        <v>55</v>
      </c>
      <c r="B23" s="22">
        <v>50</v>
      </c>
      <c r="C23" s="22">
        <v>27</v>
      </c>
      <c r="D23" s="3">
        <f t="shared" si="1"/>
        <v>0</v>
      </c>
      <c r="E23" s="23"/>
    </row>
    <row r="24" spans="1:10">
      <c r="A24" s="21">
        <v>71</v>
      </c>
      <c r="B24" s="22">
        <v>80</v>
      </c>
      <c r="C24" s="22">
        <v>26</v>
      </c>
      <c r="D24" s="3">
        <f t="shared" si="1"/>
        <v>9</v>
      </c>
      <c r="E24" s="23"/>
      <c r="F24" s="53" t="s">
        <v>126</v>
      </c>
      <c r="G24" s="54"/>
      <c r="H24" s="24">
        <f>TRUNC(SUM(G16:G22)/COUNTIF(H16:H22,"&lt;&gt;0"),0)</f>
        <v>17</v>
      </c>
    </row>
    <row r="25" spans="1:10">
      <c r="A25" s="21">
        <v>66</v>
      </c>
      <c r="B25" s="22">
        <v>60</v>
      </c>
      <c r="C25" s="22">
        <v>37</v>
      </c>
      <c r="D25" s="3">
        <f t="shared" si="1"/>
        <v>0</v>
      </c>
      <c r="E25" s="23"/>
    </row>
    <row r="26" spans="1:10">
      <c r="A26" s="1"/>
      <c r="B26" s="1"/>
      <c r="C26" s="1"/>
      <c r="D26" s="1"/>
    </row>
    <row r="29" spans="1:10">
      <c r="A29" s="11" t="s">
        <v>127</v>
      </c>
    </row>
    <row r="30" spans="1:10">
      <c r="A30" s="3" t="s">
        <v>128</v>
      </c>
      <c r="B30" s="3" t="s">
        <v>129</v>
      </c>
      <c r="C30" s="3" t="s">
        <v>84</v>
      </c>
    </row>
    <row r="31" spans="1:10">
      <c r="A31" s="3" t="s">
        <v>130</v>
      </c>
      <c r="B31" s="3" t="s">
        <v>131</v>
      </c>
      <c r="C31" s="3">
        <v>98</v>
      </c>
      <c r="F31" s="1"/>
      <c r="G31" s="1"/>
      <c r="H31" s="1"/>
      <c r="I31" s="1"/>
    </row>
    <row r="32" spans="1:10">
      <c r="A32" s="3" t="s">
        <v>132</v>
      </c>
      <c r="B32" s="3" t="s">
        <v>133</v>
      </c>
      <c r="C32" s="3">
        <v>123</v>
      </c>
      <c r="F32" s="1"/>
      <c r="G32" s="1"/>
      <c r="H32" s="1"/>
      <c r="I32" s="1"/>
      <c r="J32" s="1"/>
    </row>
    <row r="33" spans="1:10">
      <c r="A33" s="3" t="s">
        <v>134</v>
      </c>
      <c r="B33" s="3" t="s">
        <v>131</v>
      </c>
      <c r="C33" s="3">
        <v>200</v>
      </c>
      <c r="F33" s="1"/>
      <c r="G33" s="1"/>
      <c r="H33" s="1"/>
      <c r="I33" s="1"/>
      <c r="J33" s="1"/>
    </row>
    <row r="34" spans="1:10">
      <c r="A34" s="3" t="s">
        <v>134</v>
      </c>
      <c r="B34" s="3" t="s">
        <v>135</v>
      </c>
      <c r="C34" s="3">
        <v>154</v>
      </c>
      <c r="F34" s="1"/>
    </row>
    <row r="35" spans="1:10">
      <c r="A35" s="3" t="s">
        <v>132</v>
      </c>
      <c r="B35" s="3" t="s">
        <v>136</v>
      </c>
      <c r="C35" s="3">
        <v>162</v>
      </c>
      <c r="F35" s="1"/>
    </row>
    <row r="36" spans="1:10">
      <c r="A36" s="3" t="s">
        <v>130</v>
      </c>
      <c r="B36" s="3" t="s">
        <v>133</v>
      </c>
      <c r="C36" s="3">
        <v>245</v>
      </c>
      <c r="F36" s="1"/>
    </row>
    <row r="37" spans="1:10">
      <c r="A37" s="3" t="s">
        <v>130</v>
      </c>
      <c r="B37" s="3" t="s">
        <v>136</v>
      </c>
      <c r="C37" s="3">
        <v>198</v>
      </c>
      <c r="D37" s="8" t="s">
        <v>236</v>
      </c>
      <c r="F37" s="1"/>
    </row>
    <row r="38" spans="1:10">
      <c r="A38" s="3" t="s">
        <v>132</v>
      </c>
      <c r="B38" s="3" t="s">
        <v>135</v>
      </c>
      <c r="C38" s="3">
        <v>211</v>
      </c>
      <c r="D38" s="8" t="s">
        <v>136</v>
      </c>
      <c r="F38" s="1"/>
    </row>
    <row r="39" spans="1:10">
      <c r="A39" s="3" t="s">
        <v>132</v>
      </c>
      <c r="B39" s="3" t="s">
        <v>131</v>
      </c>
      <c r="C39" s="3">
        <v>157</v>
      </c>
      <c r="F39" s="1"/>
    </row>
    <row r="40" spans="1:10">
      <c r="A40" s="3" t="s">
        <v>134</v>
      </c>
      <c r="B40" s="3" t="s">
        <v>133</v>
      </c>
      <c r="C40" s="3">
        <v>188</v>
      </c>
      <c r="D40" s="18" t="s">
        <v>137</v>
      </c>
      <c r="F40" s="1"/>
    </row>
    <row r="41" spans="1:10">
      <c r="A41" s="3" t="s">
        <v>130</v>
      </c>
      <c r="B41" s="3" t="s">
        <v>135</v>
      </c>
      <c r="C41" s="3">
        <v>215</v>
      </c>
      <c r="D41" s="3" t="str">
        <f>DSUM(A30:C41,3,D37:D38)/DCOUNT(A30:C41,3,D37:D38)&amp;"개"</f>
        <v>180개</v>
      </c>
      <c r="F41" s="1"/>
    </row>
  </sheetData>
  <mergeCells count="2">
    <mergeCell ref="A12:C12"/>
    <mergeCell ref="F24:G24"/>
  </mergeCells>
  <phoneticPr fontId="2" type="noConversion"/>
  <printOptions headings="1" gridLines="1"/>
  <pageMargins left="0.75" right="0.75" top="0.46" bottom="0.47" header="0.28000000000000003" footer="0.3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0.875" bestFit="1" customWidth="1" outlineLevel="1"/>
  </cols>
  <sheetData>
    <row r="1" spans="2:6" ht="17.25" thickBot="1"/>
    <row r="2" spans="2:6">
      <c r="B2" s="30" t="s">
        <v>241</v>
      </c>
      <c r="C2" s="31"/>
      <c r="D2" s="37"/>
      <c r="E2" s="37"/>
      <c r="F2" s="37"/>
    </row>
    <row r="3" spans="2:6" collapsed="1">
      <c r="B3" s="29"/>
      <c r="C3" s="29"/>
      <c r="D3" s="38" t="s">
        <v>243</v>
      </c>
      <c r="E3" s="38" t="s">
        <v>239</v>
      </c>
      <c r="F3" s="38" t="s">
        <v>240</v>
      </c>
    </row>
    <row r="4" spans="2:6" hidden="1" outlineLevel="1">
      <c r="B4" s="33"/>
      <c r="C4" s="33"/>
      <c r="E4" s="40"/>
      <c r="F4" s="40"/>
    </row>
    <row r="5" spans="2:6">
      <c r="B5" s="34" t="s">
        <v>242</v>
      </c>
      <c r="C5" s="35"/>
      <c r="D5" s="32"/>
      <c r="E5" s="32"/>
      <c r="F5" s="32"/>
    </row>
    <row r="6" spans="2:6" outlineLevel="1">
      <c r="B6" s="33"/>
      <c r="C6" s="33" t="s">
        <v>237</v>
      </c>
      <c r="D6" s="27">
        <v>0.2</v>
      </c>
      <c r="E6" s="39">
        <v>0.3</v>
      </c>
      <c r="F6" s="39">
        <v>0.4</v>
      </c>
    </row>
    <row r="7" spans="2:6">
      <c r="B7" s="34" t="s">
        <v>244</v>
      </c>
      <c r="C7" s="35"/>
      <c r="D7" s="32"/>
      <c r="E7" s="32"/>
      <c r="F7" s="32"/>
    </row>
    <row r="8" spans="2:6" ht="17.25" outlineLevel="1" thickBot="1">
      <c r="B8" s="36"/>
      <c r="C8" s="36" t="s">
        <v>238</v>
      </c>
      <c r="D8" s="28">
        <v>2484000</v>
      </c>
      <c r="E8" s="28">
        <v>2173500</v>
      </c>
      <c r="F8" s="28">
        <v>1863000</v>
      </c>
    </row>
    <row r="9" spans="2:6">
      <c r="B9" t="s">
        <v>245</v>
      </c>
    </row>
    <row r="10" spans="2:6">
      <c r="B10" t="s">
        <v>246</v>
      </c>
    </row>
    <row r="11" spans="2:6">
      <c r="B11" t="s">
        <v>247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5"/>
  <sheetViews>
    <sheetView workbookViewId="0">
      <selection sqref="A1:G1"/>
    </sheetView>
  </sheetViews>
  <sheetFormatPr defaultRowHeight="16.5"/>
  <cols>
    <col min="1" max="1" width="5.5" style="1" bestFit="1" customWidth="1"/>
    <col min="2" max="2" width="9.25" style="1" bestFit="1" customWidth="1"/>
    <col min="3" max="3" width="13" style="1" bestFit="1" customWidth="1"/>
    <col min="4" max="6" width="11.125" style="1" bestFit="1" customWidth="1"/>
    <col min="7" max="7" width="13" style="1" bestFit="1" customWidth="1"/>
    <col min="8" max="16384" width="9" style="1"/>
  </cols>
  <sheetData>
    <row r="1" spans="1:7" ht="20.25">
      <c r="A1" s="55" t="s">
        <v>66</v>
      </c>
      <c r="B1" s="55"/>
      <c r="C1" s="55"/>
      <c r="D1" s="55"/>
      <c r="E1" s="55"/>
      <c r="F1" s="55"/>
      <c r="G1" s="55"/>
    </row>
    <row r="3" spans="1:7">
      <c r="A3" s="3" t="s">
        <v>16</v>
      </c>
      <c r="B3" s="3" t="s">
        <v>67</v>
      </c>
      <c r="C3" s="3" t="s">
        <v>68</v>
      </c>
      <c r="D3" s="3" t="s">
        <v>69</v>
      </c>
      <c r="E3" s="3" t="s">
        <v>70</v>
      </c>
      <c r="F3" s="3" t="s">
        <v>71</v>
      </c>
      <c r="G3" s="3" t="s">
        <v>72</v>
      </c>
    </row>
    <row r="4" spans="1:7">
      <c r="A4" s="3" t="s">
        <v>73</v>
      </c>
      <c r="B4" s="3" t="s">
        <v>74</v>
      </c>
      <c r="C4" s="4">
        <v>150000</v>
      </c>
      <c r="D4" s="4">
        <v>80000</v>
      </c>
      <c r="E4" s="4">
        <v>60000</v>
      </c>
      <c r="F4" s="4">
        <v>15000</v>
      </c>
      <c r="G4" s="9">
        <f>SUM(C4:F4)-SUM(C4:F4)*$G$15</f>
        <v>244000</v>
      </c>
    </row>
    <row r="5" spans="1:7">
      <c r="A5" s="3" t="s">
        <v>75</v>
      </c>
      <c r="B5" s="3" t="s">
        <v>74</v>
      </c>
      <c r="C5" s="4">
        <v>150000</v>
      </c>
      <c r="D5" s="4">
        <v>80000</v>
      </c>
      <c r="E5" s="4">
        <v>70000</v>
      </c>
      <c r="F5" s="4">
        <v>15000</v>
      </c>
      <c r="G5" s="9">
        <f t="shared" ref="G5:G12" si="0">SUM(C5:F5)-SUM(C5:F5)*$G$15</f>
        <v>252000</v>
      </c>
    </row>
    <row r="6" spans="1:7">
      <c r="A6" s="3" t="s">
        <v>76</v>
      </c>
      <c r="B6" s="3" t="s">
        <v>74</v>
      </c>
      <c r="C6" s="4">
        <v>150000</v>
      </c>
      <c r="D6" s="4">
        <v>80000</v>
      </c>
      <c r="E6" s="4">
        <v>80000</v>
      </c>
      <c r="F6" s="4">
        <v>15000</v>
      </c>
      <c r="G6" s="9">
        <f t="shared" si="0"/>
        <v>260000</v>
      </c>
    </row>
    <row r="7" spans="1:7">
      <c r="A7" s="3" t="s">
        <v>73</v>
      </c>
      <c r="B7" s="3" t="s">
        <v>77</v>
      </c>
      <c r="C7" s="4">
        <v>120000</v>
      </c>
      <c r="D7" s="4">
        <v>110000</v>
      </c>
      <c r="E7" s="4">
        <v>90000</v>
      </c>
      <c r="F7" s="4">
        <v>15000</v>
      </c>
      <c r="G7" s="9">
        <f t="shared" si="0"/>
        <v>268000</v>
      </c>
    </row>
    <row r="8" spans="1:7">
      <c r="A8" s="3" t="s">
        <v>75</v>
      </c>
      <c r="B8" s="3" t="s">
        <v>77</v>
      </c>
      <c r="C8" s="4">
        <v>120000</v>
      </c>
      <c r="D8" s="4">
        <v>110000</v>
      </c>
      <c r="E8" s="4">
        <v>100000</v>
      </c>
      <c r="F8" s="4">
        <v>15000</v>
      </c>
      <c r="G8" s="9">
        <f t="shared" si="0"/>
        <v>276000</v>
      </c>
    </row>
    <row r="9" spans="1:7">
      <c r="A9" s="3" t="s">
        <v>76</v>
      </c>
      <c r="B9" s="3" t="s">
        <v>77</v>
      </c>
      <c r="C9" s="4">
        <v>120000</v>
      </c>
      <c r="D9" s="4">
        <v>110000</v>
      </c>
      <c r="E9" s="4">
        <v>110000</v>
      </c>
      <c r="F9" s="4">
        <v>15000</v>
      </c>
      <c r="G9" s="9">
        <f t="shared" si="0"/>
        <v>284000</v>
      </c>
    </row>
    <row r="10" spans="1:7">
      <c r="A10" s="3" t="s">
        <v>73</v>
      </c>
      <c r="B10" s="3" t="s">
        <v>78</v>
      </c>
      <c r="C10" s="4">
        <v>100000</v>
      </c>
      <c r="D10" s="4">
        <v>130000</v>
      </c>
      <c r="E10" s="4">
        <v>120000</v>
      </c>
      <c r="F10" s="4">
        <v>15000</v>
      </c>
      <c r="G10" s="9">
        <f t="shared" si="0"/>
        <v>292000</v>
      </c>
    </row>
    <row r="11" spans="1:7">
      <c r="A11" s="3" t="s">
        <v>75</v>
      </c>
      <c r="B11" s="3" t="s">
        <v>78</v>
      </c>
      <c r="C11" s="4">
        <v>100000</v>
      </c>
      <c r="D11" s="4">
        <v>130000</v>
      </c>
      <c r="E11" s="4">
        <v>130000</v>
      </c>
      <c r="F11" s="4">
        <v>15000</v>
      </c>
      <c r="G11" s="9">
        <f t="shared" si="0"/>
        <v>300000</v>
      </c>
    </row>
    <row r="12" spans="1:7">
      <c r="A12" s="3" t="s">
        <v>76</v>
      </c>
      <c r="B12" s="3" t="s">
        <v>78</v>
      </c>
      <c r="C12" s="4">
        <v>100000</v>
      </c>
      <c r="D12" s="4">
        <v>130000</v>
      </c>
      <c r="E12" s="4">
        <v>140000</v>
      </c>
      <c r="F12" s="4">
        <v>15000</v>
      </c>
      <c r="G12" s="9">
        <f t="shared" si="0"/>
        <v>308000</v>
      </c>
    </row>
    <row r="13" spans="1:7">
      <c r="A13" s="56" t="s">
        <v>79</v>
      </c>
      <c r="B13" s="56"/>
      <c r="C13" s="9">
        <f>SUM(C4:C12)</f>
        <v>1110000</v>
      </c>
      <c r="D13" s="9">
        <f>SUM(D4:D12)</f>
        <v>960000</v>
      </c>
      <c r="E13" s="9">
        <f>SUM(E4:E12)</f>
        <v>900000</v>
      </c>
      <c r="F13" s="9">
        <f>SUM(F4:F12)</f>
        <v>135000</v>
      </c>
      <c r="G13" s="9">
        <f>SUM(G4:G12)</f>
        <v>2484000</v>
      </c>
    </row>
    <row r="15" spans="1:7">
      <c r="E15" s="56" t="s">
        <v>80</v>
      </c>
      <c r="F15" s="56"/>
      <c r="G15" s="10">
        <v>0.2</v>
      </c>
    </row>
  </sheetData>
  <scenarios current="1" sqref="G13">
    <scenario name="평일할인" locked="1" count="1" user="조준현">
      <inputCells r="G15" val="0.3" numFmtId="9"/>
    </scenario>
    <scenario name="휴일할인" locked="1" count="1" user="조준현">
      <inputCells r="G15" val="0.4" numFmtId="9"/>
    </scenario>
  </scenarios>
  <mergeCells count="3">
    <mergeCell ref="A1:G1"/>
    <mergeCell ref="A13:B13"/>
    <mergeCell ref="E15:F15"/>
  </mergeCells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38"/>
  <sheetViews>
    <sheetView workbookViewId="0">
      <selection sqref="A1:I1"/>
    </sheetView>
  </sheetViews>
  <sheetFormatPr defaultRowHeight="16.5"/>
  <cols>
    <col min="1" max="1" width="13.875" style="1" bestFit="1" customWidth="1"/>
    <col min="2" max="9" width="14" style="1" bestFit="1" customWidth="1"/>
    <col min="10" max="11" width="18.875" style="1" bestFit="1" customWidth="1"/>
    <col min="12" max="15" width="14" style="1" bestFit="1" customWidth="1"/>
    <col min="16" max="17" width="18.875" style="1" bestFit="1" customWidth="1"/>
    <col min="18" max="16384" width="9" style="1"/>
  </cols>
  <sheetData>
    <row r="1" spans="1:9" ht="20.25">
      <c r="A1" s="55" t="s">
        <v>231</v>
      </c>
      <c r="B1" s="55"/>
      <c r="C1" s="55"/>
      <c r="D1" s="55"/>
      <c r="E1" s="55"/>
      <c r="F1" s="55"/>
      <c r="G1" s="55"/>
      <c r="H1" s="55"/>
      <c r="I1" s="55"/>
    </row>
    <row r="3" spans="1:9">
      <c r="I3" s="8" t="s">
        <v>35</v>
      </c>
    </row>
    <row r="4" spans="1:9">
      <c r="A4" s="3" t="s">
        <v>36</v>
      </c>
      <c r="B4" s="3" t="s">
        <v>37</v>
      </c>
      <c r="C4" s="3" t="s">
        <v>38</v>
      </c>
      <c r="D4" s="3" t="s">
        <v>39</v>
      </c>
      <c r="E4" s="3" t="s">
        <v>197</v>
      </c>
      <c r="F4" s="3" t="s">
        <v>264</v>
      </c>
      <c r="G4" s="3" t="s">
        <v>265</v>
      </c>
      <c r="H4" s="3" t="s">
        <v>266</v>
      </c>
      <c r="I4" s="3" t="s">
        <v>40</v>
      </c>
    </row>
    <row r="5" spans="1:9">
      <c r="A5" s="3" t="s">
        <v>41</v>
      </c>
      <c r="B5" s="3" t="s">
        <v>42</v>
      </c>
      <c r="C5" s="3" t="s">
        <v>43</v>
      </c>
      <c r="D5" s="3" t="s">
        <v>44</v>
      </c>
      <c r="E5" s="4">
        <v>20000</v>
      </c>
      <c r="F5" s="4">
        <v>24000</v>
      </c>
      <c r="G5" s="4">
        <v>30000</v>
      </c>
      <c r="H5" s="4">
        <v>34600</v>
      </c>
      <c r="I5" s="4">
        <f t="shared" ref="I5:I17" si="0">(E5+F5+G5+H5)/4</f>
        <v>27150</v>
      </c>
    </row>
    <row r="6" spans="1:9">
      <c r="A6" s="3" t="s">
        <v>45</v>
      </c>
      <c r="B6" s="3" t="s">
        <v>46</v>
      </c>
      <c r="C6" s="3" t="s">
        <v>47</v>
      </c>
      <c r="D6" s="3" t="s">
        <v>48</v>
      </c>
      <c r="E6" s="4">
        <v>16000</v>
      </c>
      <c r="F6" s="4">
        <v>18600</v>
      </c>
      <c r="G6" s="4">
        <v>20000</v>
      </c>
      <c r="H6" s="4">
        <v>24000</v>
      </c>
      <c r="I6" s="4">
        <f t="shared" si="0"/>
        <v>19650</v>
      </c>
    </row>
    <row r="7" spans="1:9">
      <c r="A7" s="3" t="s">
        <v>49</v>
      </c>
      <c r="B7" s="3" t="s">
        <v>46</v>
      </c>
      <c r="C7" s="3" t="s">
        <v>47</v>
      </c>
      <c r="D7" s="3" t="s">
        <v>50</v>
      </c>
      <c r="E7" s="4">
        <v>12000</v>
      </c>
      <c r="F7" s="4">
        <v>16000</v>
      </c>
      <c r="G7" s="4">
        <v>19000</v>
      </c>
      <c r="H7" s="4">
        <v>18500</v>
      </c>
      <c r="I7" s="4">
        <f t="shared" si="0"/>
        <v>16375</v>
      </c>
    </row>
    <row r="8" spans="1:9">
      <c r="A8" s="3" t="s">
        <v>51</v>
      </c>
      <c r="B8" s="3" t="s">
        <v>52</v>
      </c>
      <c r="C8" s="3" t="s">
        <v>53</v>
      </c>
      <c r="D8" s="3" t="s">
        <v>54</v>
      </c>
      <c r="E8" s="4">
        <v>18600</v>
      </c>
      <c r="F8" s="4">
        <v>23500</v>
      </c>
      <c r="G8" s="4">
        <v>26400</v>
      </c>
      <c r="H8" s="4">
        <v>28800</v>
      </c>
      <c r="I8" s="4">
        <f t="shared" si="0"/>
        <v>24325</v>
      </c>
    </row>
    <row r="9" spans="1:9">
      <c r="A9" s="3" t="s">
        <v>55</v>
      </c>
      <c r="B9" s="3" t="s">
        <v>52</v>
      </c>
      <c r="C9" s="3" t="s">
        <v>53</v>
      </c>
      <c r="D9" s="3" t="s">
        <v>1</v>
      </c>
      <c r="E9" s="4">
        <v>21000</v>
      </c>
      <c r="F9" s="4">
        <v>30000</v>
      </c>
      <c r="G9" s="4">
        <v>32000</v>
      </c>
      <c r="H9" s="4">
        <v>41000</v>
      </c>
      <c r="I9" s="4">
        <f t="shared" si="0"/>
        <v>31000</v>
      </c>
    </row>
    <row r="10" spans="1:9">
      <c r="A10" s="3" t="s">
        <v>56</v>
      </c>
      <c r="B10" s="3" t="s">
        <v>57</v>
      </c>
      <c r="C10" s="3" t="s">
        <v>53</v>
      </c>
      <c r="D10" s="3" t="s">
        <v>2</v>
      </c>
      <c r="E10" s="4">
        <v>35000</v>
      </c>
      <c r="F10" s="4">
        <v>42000</v>
      </c>
      <c r="G10" s="4">
        <v>56000</v>
      </c>
      <c r="H10" s="4">
        <v>66400</v>
      </c>
      <c r="I10" s="4">
        <f t="shared" si="0"/>
        <v>49850</v>
      </c>
    </row>
    <row r="11" spans="1:9">
      <c r="A11" s="3" t="s">
        <v>58</v>
      </c>
      <c r="B11" s="3" t="s">
        <v>57</v>
      </c>
      <c r="C11" s="3" t="s">
        <v>53</v>
      </c>
      <c r="D11" s="3" t="s">
        <v>59</v>
      </c>
      <c r="E11" s="4">
        <v>0</v>
      </c>
      <c r="F11" s="4">
        <v>52000</v>
      </c>
      <c r="G11" s="4">
        <v>26000</v>
      </c>
      <c r="H11" s="4">
        <v>28400</v>
      </c>
      <c r="I11" s="4">
        <f t="shared" si="0"/>
        <v>26600</v>
      </c>
    </row>
    <row r="12" spans="1:9">
      <c r="A12" s="3" t="s">
        <v>41</v>
      </c>
      <c r="B12" s="3" t="s">
        <v>42</v>
      </c>
      <c r="C12" s="3" t="s">
        <v>53</v>
      </c>
      <c r="D12" s="3" t="s">
        <v>60</v>
      </c>
      <c r="E12" s="4">
        <v>0</v>
      </c>
      <c r="F12" s="4">
        <v>24000</v>
      </c>
      <c r="G12" s="4">
        <v>26000</v>
      </c>
      <c r="H12" s="4">
        <v>34000</v>
      </c>
      <c r="I12" s="4">
        <f t="shared" si="0"/>
        <v>21000</v>
      </c>
    </row>
    <row r="13" spans="1:9">
      <c r="A13" s="3" t="s">
        <v>45</v>
      </c>
      <c r="B13" s="3" t="s">
        <v>46</v>
      </c>
      <c r="C13" s="3" t="s">
        <v>47</v>
      </c>
      <c r="D13" s="3" t="s">
        <v>61</v>
      </c>
      <c r="E13" s="4">
        <v>12000</v>
      </c>
      <c r="F13" s="4">
        <v>16000</v>
      </c>
      <c r="G13" s="4">
        <v>19000</v>
      </c>
      <c r="H13" s="4">
        <v>18500</v>
      </c>
      <c r="I13" s="4">
        <f t="shared" si="0"/>
        <v>16375</v>
      </c>
    </row>
    <row r="14" spans="1:9">
      <c r="A14" s="3" t="s">
        <v>51</v>
      </c>
      <c r="B14" s="3" t="s">
        <v>52</v>
      </c>
      <c r="C14" s="3" t="s">
        <v>53</v>
      </c>
      <c r="D14" s="3" t="s">
        <v>62</v>
      </c>
      <c r="E14" s="4">
        <v>23500</v>
      </c>
      <c r="F14" s="4">
        <v>32400</v>
      </c>
      <c r="G14" s="4">
        <v>26400</v>
      </c>
      <c r="H14" s="4">
        <v>23400</v>
      </c>
      <c r="I14" s="4">
        <f t="shared" si="0"/>
        <v>26425</v>
      </c>
    </row>
    <row r="15" spans="1:9">
      <c r="A15" s="3" t="s">
        <v>55</v>
      </c>
      <c r="B15" s="3" t="s">
        <v>52</v>
      </c>
      <c r="C15" s="3" t="s">
        <v>53</v>
      </c>
      <c r="D15" s="3" t="s">
        <v>63</v>
      </c>
      <c r="E15" s="4">
        <v>32100</v>
      </c>
      <c r="F15" s="4">
        <v>21000</v>
      </c>
      <c r="G15" s="4">
        <v>32000</v>
      </c>
      <c r="H15" s="4">
        <v>32000</v>
      </c>
      <c r="I15" s="4">
        <f t="shared" si="0"/>
        <v>29275</v>
      </c>
    </row>
    <row r="16" spans="1:9">
      <c r="A16" s="3" t="s">
        <v>56</v>
      </c>
      <c r="B16" s="3" t="s">
        <v>57</v>
      </c>
      <c r="C16" s="3" t="s">
        <v>53</v>
      </c>
      <c r="D16" s="3" t="s">
        <v>64</v>
      </c>
      <c r="E16" s="4">
        <v>43000</v>
      </c>
      <c r="F16" s="4">
        <v>45200</v>
      </c>
      <c r="G16" s="4">
        <v>32100</v>
      </c>
      <c r="H16" s="4">
        <v>25000</v>
      </c>
      <c r="I16" s="4">
        <f t="shared" si="0"/>
        <v>36325</v>
      </c>
    </row>
    <row r="17" spans="1:11">
      <c r="A17" s="3" t="s">
        <v>58</v>
      </c>
      <c r="B17" s="3" t="s">
        <v>57</v>
      </c>
      <c r="C17" s="3" t="s">
        <v>43</v>
      </c>
      <c r="D17" s="3" t="s">
        <v>65</v>
      </c>
      <c r="E17" s="4">
        <v>0</v>
      </c>
      <c r="F17" s="4">
        <v>32600</v>
      </c>
      <c r="G17" s="4">
        <v>26000</v>
      </c>
      <c r="H17" s="4">
        <v>15000</v>
      </c>
      <c r="I17" s="4">
        <f t="shared" si="0"/>
        <v>18400</v>
      </c>
    </row>
    <row r="19" spans="1:11">
      <c r="A19" s="41" t="s">
        <v>248</v>
      </c>
      <c r="B19" t="s">
        <v>249</v>
      </c>
      <c r="C19"/>
    </row>
    <row r="20" spans="1:11">
      <c r="A20"/>
      <c r="B20"/>
      <c r="C20"/>
    </row>
    <row r="21" spans="1:11">
      <c r="A21" s="43"/>
      <c r="B21" s="44" t="s">
        <v>256</v>
      </c>
      <c r="C21" s="43"/>
      <c r="D21" s="43"/>
      <c r="E21" s="43"/>
      <c r="F21" s="43"/>
      <c r="G21" s="43"/>
      <c r="H21" s="43"/>
      <c r="I21" s="43"/>
      <c r="J21"/>
      <c r="K21"/>
    </row>
    <row r="22" spans="1:11">
      <c r="A22" s="43"/>
      <c r="B22" s="57" t="s">
        <v>251</v>
      </c>
      <c r="C22" s="58"/>
      <c r="D22" s="57" t="s">
        <v>252</v>
      </c>
      <c r="E22" s="58"/>
      <c r="F22" s="57" t="s">
        <v>253</v>
      </c>
      <c r="G22" s="58"/>
      <c r="H22" s="57" t="s">
        <v>254</v>
      </c>
      <c r="I22" s="58"/>
      <c r="J22"/>
      <c r="K22"/>
    </row>
    <row r="23" spans="1:11">
      <c r="A23" s="44" t="s">
        <v>250</v>
      </c>
      <c r="B23" s="45" t="s">
        <v>267</v>
      </c>
      <c r="C23" s="45" t="s">
        <v>268</v>
      </c>
      <c r="D23" s="45" t="s">
        <v>267</v>
      </c>
      <c r="E23" s="45" t="s">
        <v>268</v>
      </c>
      <c r="F23" s="45" t="s">
        <v>267</v>
      </c>
      <c r="G23" s="45" t="s">
        <v>268</v>
      </c>
      <c r="H23" s="45" t="s">
        <v>267</v>
      </c>
      <c r="I23" s="45" t="s">
        <v>268</v>
      </c>
      <c r="J23"/>
      <c r="K23"/>
    </row>
    <row r="24" spans="1:11">
      <c r="A24" s="42" t="s">
        <v>257</v>
      </c>
      <c r="B24" s="26">
        <v>64000</v>
      </c>
      <c r="C24" s="26">
        <v>73000</v>
      </c>
      <c r="D24" s="26"/>
      <c r="E24" s="26"/>
      <c r="F24" s="26"/>
      <c r="G24" s="26"/>
      <c r="H24" s="26"/>
      <c r="I24" s="26"/>
      <c r="J24"/>
      <c r="K24"/>
    </row>
    <row r="25" spans="1:11">
      <c r="A25" s="42" t="s">
        <v>258</v>
      </c>
      <c r="B25" s="26"/>
      <c r="C25" s="26"/>
      <c r="D25" s="26"/>
      <c r="E25" s="26"/>
      <c r="F25" s="26">
        <v>19000</v>
      </c>
      <c r="G25" s="26">
        <v>18500</v>
      </c>
      <c r="H25" s="26"/>
      <c r="I25" s="26"/>
      <c r="J25"/>
      <c r="K25"/>
    </row>
    <row r="26" spans="1:11">
      <c r="A26" s="42" t="s">
        <v>259</v>
      </c>
      <c r="B26" s="26"/>
      <c r="C26" s="26"/>
      <c r="D26" s="26">
        <v>56000</v>
      </c>
      <c r="E26" s="26">
        <v>68600</v>
      </c>
      <c r="F26" s="26"/>
      <c r="G26" s="26"/>
      <c r="H26" s="26"/>
      <c r="I26" s="26"/>
      <c r="J26"/>
      <c r="K26"/>
    </row>
    <row r="27" spans="1:11">
      <c r="A27" s="42" t="s">
        <v>260</v>
      </c>
      <c r="B27" s="26"/>
      <c r="C27" s="26"/>
      <c r="D27" s="26"/>
      <c r="E27" s="26"/>
      <c r="F27" s="26"/>
      <c r="G27" s="26"/>
      <c r="H27" s="26">
        <v>88100</v>
      </c>
      <c r="I27" s="26">
        <v>91400</v>
      </c>
      <c r="J27"/>
      <c r="K27"/>
    </row>
    <row r="28" spans="1:11">
      <c r="A28" s="42" t="s">
        <v>261</v>
      </c>
      <c r="B28" s="26"/>
      <c r="C28" s="26"/>
      <c r="D28" s="26"/>
      <c r="E28" s="26"/>
      <c r="F28" s="26"/>
      <c r="G28" s="26"/>
      <c r="H28" s="26">
        <v>52000</v>
      </c>
      <c r="I28" s="26">
        <v>43400</v>
      </c>
      <c r="J28"/>
      <c r="K28"/>
    </row>
    <row r="29" spans="1:11">
      <c r="A29" s="42" t="s">
        <v>262</v>
      </c>
      <c r="B29" s="26">
        <v>52800</v>
      </c>
      <c r="C29" s="26">
        <v>52200</v>
      </c>
      <c r="D29" s="26"/>
      <c r="E29" s="26"/>
      <c r="F29" s="26"/>
      <c r="G29" s="26"/>
      <c r="H29" s="26"/>
      <c r="I29" s="26"/>
      <c r="J29"/>
      <c r="K29"/>
    </row>
    <row r="30" spans="1:11">
      <c r="A30" s="42" t="s">
        <v>263</v>
      </c>
      <c r="B30" s="26"/>
      <c r="C30" s="26"/>
      <c r="D30" s="26"/>
      <c r="E30" s="26"/>
      <c r="F30" s="26">
        <v>39000</v>
      </c>
      <c r="G30" s="26">
        <v>42500</v>
      </c>
      <c r="H30" s="26"/>
      <c r="I30" s="26"/>
      <c r="J30"/>
      <c r="K30"/>
    </row>
    <row r="31" spans="1:11">
      <c r="A31" s="42" t="s">
        <v>255</v>
      </c>
      <c r="B31" s="26">
        <v>116800</v>
      </c>
      <c r="C31" s="26">
        <v>125200</v>
      </c>
      <c r="D31" s="26">
        <v>56000</v>
      </c>
      <c r="E31" s="26">
        <v>68600</v>
      </c>
      <c r="F31" s="26">
        <v>58000</v>
      </c>
      <c r="G31" s="26">
        <v>61000</v>
      </c>
      <c r="H31" s="26">
        <v>140100</v>
      </c>
      <c r="I31" s="26">
        <v>134800</v>
      </c>
      <c r="J31"/>
      <c r="K31"/>
    </row>
    <row r="32" spans="1:11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</sheetData>
  <mergeCells count="5">
    <mergeCell ref="A1:I1"/>
    <mergeCell ref="B22:C22"/>
    <mergeCell ref="D22:E22"/>
    <mergeCell ref="F22:G22"/>
    <mergeCell ref="H22:I22"/>
  </mergeCells>
  <phoneticPr fontId="2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11"/>
  <sheetViews>
    <sheetView workbookViewId="0"/>
  </sheetViews>
  <sheetFormatPr defaultRowHeight="16.5"/>
  <cols>
    <col min="1" max="1" width="10.25" style="1" customWidth="1"/>
    <col min="2" max="2" width="7.125" style="1" bestFit="1" customWidth="1"/>
    <col min="3" max="3" width="7.375" style="1" bestFit="1" customWidth="1"/>
    <col min="4" max="4" width="9.25" style="1" bestFit="1" customWidth="1"/>
    <col min="5" max="5" width="7.5" style="1" bestFit="1" customWidth="1"/>
    <col min="6" max="6" width="7.375" style="1" bestFit="1" customWidth="1"/>
    <col min="7" max="7" width="7.25" style="1" customWidth="1"/>
    <col min="8" max="8" width="5.5" style="1" bestFit="1" customWidth="1"/>
    <col min="9" max="9" width="12.25" style="1" customWidth="1"/>
    <col min="10" max="16384" width="9" style="1"/>
  </cols>
  <sheetData>
    <row r="1" spans="1:7">
      <c r="A1" s="1" t="s">
        <v>198</v>
      </c>
    </row>
    <row r="3" spans="1:7">
      <c r="A3" s="46" t="s">
        <v>16</v>
      </c>
      <c r="B3" s="46" t="s">
        <v>17</v>
      </c>
      <c r="C3" s="46" t="s">
        <v>18</v>
      </c>
      <c r="D3" s="46" t="s">
        <v>19</v>
      </c>
      <c r="E3" s="46" t="s">
        <v>20</v>
      </c>
      <c r="F3" s="46" t="s">
        <v>21</v>
      </c>
      <c r="G3" s="46" t="s">
        <v>79</v>
      </c>
    </row>
    <row r="4" spans="1:7">
      <c r="A4" s="3" t="s">
        <v>22</v>
      </c>
      <c r="B4" s="3" t="s">
        <v>23</v>
      </c>
      <c r="C4" s="6">
        <v>60</v>
      </c>
      <c r="D4" s="6">
        <v>29</v>
      </c>
      <c r="E4" s="6">
        <v>45</v>
      </c>
      <c r="F4" s="7">
        <v>5</v>
      </c>
      <c r="G4" s="6">
        <f>SUM(C4:F4)</f>
        <v>139</v>
      </c>
    </row>
    <row r="5" spans="1:7">
      <c r="A5" s="3" t="s">
        <v>24</v>
      </c>
      <c r="B5" s="3" t="s">
        <v>25</v>
      </c>
      <c r="C5" s="6">
        <v>69</v>
      </c>
      <c r="D5" s="6">
        <v>30</v>
      </c>
      <c r="E5" s="6">
        <v>48</v>
      </c>
      <c r="F5" s="7">
        <v>1</v>
      </c>
      <c r="G5" s="6">
        <f t="shared" ref="G5:G11" si="0">SUM(C5:F5)</f>
        <v>148</v>
      </c>
    </row>
    <row r="6" spans="1:7">
      <c r="A6" s="3" t="s">
        <v>26</v>
      </c>
      <c r="B6" s="3" t="s">
        <v>27</v>
      </c>
      <c r="C6" s="6">
        <v>70</v>
      </c>
      <c r="D6" s="6">
        <v>28</v>
      </c>
      <c r="E6" s="6">
        <v>47</v>
      </c>
      <c r="F6" s="7">
        <v>2</v>
      </c>
      <c r="G6" s="6">
        <f t="shared" si="0"/>
        <v>147</v>
      </c>
    </row>
    <row r="7" spans="1:7">
      <c r="A7" s="3" t="s">
        <v>28</v>
      </c>
      <c r="B7" s="3" t="s">
        <v>23</v>
      </c>
      <c r="C7" s="6">
        <v>67</v>
      </c>
      <c r="D7" s="6">
        <v>25</v>
      </c>
      <c r="E7" s="6">
        <v>45</v>
      </c>
      <c r="F7" s="7">
        <v>4</v>
      </c>
      <c r="G7" s="6">
        <f t="shared" si="0"/>
        <v>141</v>
      </c>
    </row>
    <row r="8" spans="1:7">
      <c r="A8" s="3" t="s">
        <v>29</v>
      </c>
      <c r="B8" s="3" t="s">
        <v>27</v>
      </c>
      <c r="C8" s="6">
        <v>66</v>
      </c>
      <c r="D8" s="6">
        <v>20</v>
      </c>
      <c r="E8" s="6">
        <v>38</v>
      </c>
      <c r="F8" s="7">
        <v>0</v>
      </c>
      <c r="G8" s="6">
        <f t="shared" si="0"/>
        <v>124</v>
      </c>
    </row>
    <row r="9" spans="1:7">
      <c r="A9" s="3" t="s">
        <v>30</v>
      </c>
      <c r="B9" s="3" t="s">
        <v>31</v>
      </c>
      <c r="C9" s="6">
        <v>59</v>
      </c>
      <c r="D9" s="6">
        <v>25</v>
      </c>
      <c r="E9" s="6">
        <v>46</v>
      </c>
      <c r="F9" s="7">
        <v>5</v>
      </c>
      <c r="G9" s="6">
        <f t="shared" si="0"/>
        <v>135</v>
      </c>
    </row>
    <row r="10" spans="1:7">
      <c r="A10" s="3" t="s">
        <v>32</v>
      </c>
      <c r="B10" s="3" t="s">
        <v>33</v>
      </c>
      <c r="C10" s="6">
        <v>70</v>
      </c>
      <c r="D10" s="6">
        <v>27</v>
      </c>
      <c r="E10" s="6">
        <v>50</v>
      </c>
      <c r="F10" s="7">
        <v>7</v>
      </c>
      <c r="G10" s="6">
        <f t="shared" si="0"/>
        <v>154</v>
      </c>
    </row>
    <row r="11" spans="1:7">
      <c r="A11" s="3" t="s">
        <v>34</v>
      </c>
      <c r="B11" s="3" t="s">
        <v>33</v>
      </c>
      <c r="C11" s="6">
        <v>69</v>
      </c>
      <c r="D11" s="6">
        <v>19</v>
      </c>
      <c r="E11" s="6">
        <v>48</v>
      </c>
      <c r="F11" s="7">
        <v>0</v>
      </c>
      <c r="G11" s="6">
        <f t="shared" si="0"/>
        <v>136</v>
      </c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9"/>
  <sheetViews>
    <sheetView workbookViewId="0"/>
  </sheetViews>
  <sheetFormatPr defaultRowHeight="16.5"/>
  <cols>
    <col min="1" max="1" width="10.25" style="1" customWidth="1"/>
    <col min="2" max="2" width="7.125" style="1" bestFit="1" customWidth="1"/>
    <col min="3" max="3" width="7.375" style="1" bestFit="1" customWidth="1"/>
    <col min="4" max="4" width="9.25" style="1" bestFit="1" customWidth="1"/>
    <col min="5" max="5" width="7.5" style="1" bestFit="1" customWidth="1"/>
    <col min="6" max="16384" width="9" style="1"/>
  </cols>
  <sheetData>
    <row r="1" spans="1:5">
      <c r="A1" s="1" t="s">
        <v>4</v>
      </c>
    </row>
    <row r="3" spans="1:5">
      <c r="A3" s="3" t="s">
        <v>5</v>
      </c>
      <c r="B3" s="3" t="s">
        <v>6</v>
      </c>
      <c r="C3" s="3" t="s">
        <v>7</v>
      </c>
      <c r="D3" s="3" t="s">
        <v>8</v>
      </c>
      <c r="E3" s="3" t="s">
        <v>9</v>
      </c>
    </row>
    <row r="4" spans="1:5">
      <c r="A4" s="3" t="s">
        <v>10</v>
      </c>
      <c r="B4" s="4">
        <v>210</v>
      </c>
      <c r="C4" s="4">
        <v>300</v>
      </c>
      <c r="D4" s="4">
        <f t="shared" ref="D4:D9" si="0">C4-B4</f>
        <v>90</v>
      </c>
      <c r="E4" s="5">
        <f t="shared" ref="E4:E9" si="1">D4/C4</f>
        <v>0.3</v>
      </c>
    </row>
    <row r="5" spans="1:5">
      <c r="A5" s="3" t="s">
        <v>11</v>
      </c>
      <c r="B5" s="4">
        <v>160</v>
      </c>
      <c r="C5" s="4">
        <v>220</v>
      </c>
      <c r="D5" s="4">
        <f t="shared" si="0"/>
        <v>60</v>
      </c>
      <c r="E5" s="5">
        <f t="shared" si="1"/>
        <v>0.27272727272727271</v>
      </c>
    </row>
    <row r="6" spans="1:5">
      <c r="A6" s="3" t="s">
        <v>12</v>
      </c>
      <c r="B6" s="4">
        <v>440</v>
      </c>
      <c r="C6" s="4">
        <v>580</v>
      </c>
      <c r="D6" s="4">
        <f t="shared" si="0"/>
        <v>140</v>
      </c>
      <c r="E6" s="5">
        <f t="shared" si="1"/>
        <v>0.2413793103448276</v>
      </c>
    </row>
    <row r="7" spans="1:5">
      <c r="A7" s="3" t="s">
        <v>13</v>
      </c>
      <c r="B7" s="4">
        <v>320</v>
      </c>
      <c r="C7" s="4">
        <v>420</v>
      </c>
      <c r="D7" s="4">
        <f t="shared" si="0"/>
        <v>100</v>
      </c>
      <c r="E7" s="5">
        <f t="shared" si="1"/>
        <v>0.23809523809523808</v>
      </c>
    </row>
    <row r="8" spans="1:5">
      <c r="A8" s="3" t="s">
        <v>14</v>
      </c>
      <c r="B8" s="4">
        <v>230</v>
      </c>
      <c r="C8" s="4">
        <v>290</v>
      </c>
      <c r="D8" s="4">
        <f t="shared" si="0"/>
        <v>60</v>
      </c>
      <c r="E8" s="5">
        <f t="shared" si="1"/>
        <v>0.20689655172413793</v>
      </c>
    </row>
    <row r="9" spans="1:5">
      <c r="A9" s="3" t="s">
        <v>15</v>
      </c>
      <c r="B9" s="4">
        <v>450</v>
      </c>
      <c r="C9" s="4">
        <v>540</v>
      </c>
      <c r="D9" s="4">
        <f t="shared" si="0"/>
        <v>90</v>
      </c>
      <c r="E9" s="5">
        <f t="shared" si="1"/>
        <v>0.16666666666666666</v>
      </c>
    </row>
  </sheetData>
  <phoneticPr fontId="2" type="noConversion"/>
  <printOptions headings="1" gridLines="1"/>
  <pageMargins left="0.75" right="0.75" top="0.63" bottom="0.45" header="0.5" footer="0.12"/>
  <pageSetup paperSize="9" scale="77" orientation="landscape" r:id="rId1"/>
  <headerFooter alignWithMargins="0">
    <oddHeader>&amp;C&amp;F</oddHeader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총비용합계</vt:lpstr>
      <vt:lpstr>할인율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2011-06-14T11:26:33Z</dcterms:created>
  <dcterms:modified xsi:type="dcterms:W3CDTF">2023-10-09T17:06:21Z</dcterms:modified>
</cp:coreProperties>
</file>