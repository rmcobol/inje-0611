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updateLinks="never"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8회 실전모의고사\"/>
    </mc:Choice>
  </mc:AlternateContent>
  <xr:revisionPtr revIDLastSave="0" documentId="13_ncr:1_{3F3B0AA1-AF70-4186-ACC5-5E4925984B6F}" xr6:coauthVersionLast="47" xr6:coauthVersionMax="47" xr10:uidLastSave="{00000000-0000-0000-0000-000000000000}"/>
  <bookViews>
    <workbookView xWindow="9225" yWindow="1725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9" r:id="rId5"/>
    <sheet name="분석작업-1" sheetId="6" r:id="rId6"/>
    <sheet name="분석작업-2" sheetId="5" r:id="rId7"/>
    <sheet name="매크로작업" sheetId="7" r:id="rId8"/>
    <sheet name="차트작업" sheetId="8" r:id="rId9"/>
  </sheets>
  <definedNames>
    <definedName name="ExternalData_1" localSheetId="2" hidden="1">'기본작업-3'!$B$4:$J$14</definedName>
    <definedName name="백만원">'분석작업-1'!$H$5</definedName>
    <definedName name="상여금비율">'분석작업-1'!$B$17</definedName>
    <definedName name="아시아">'기본작업-2'!$C$4:$C$8</definedName>
    <definedName name="정상인">'분석작업-1'!$H$7</definedName>
    <definedName name="조만근">'분석작업-1'!$H$9</definedName>
    <definedName name="퀴즈점수" localSheetId="2">'기본작업-3'!#REF!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9" i="7"/>
  <c r="H10" i="7"/>
  <c r="H11" i="7"/>
  <c r="H12" i="7"/>
  <c r="H13" i="7"/>
  <c r="H4" i="7"/>
  <c r="F30" i="4"/>
  <c r="F31" i="4"/>
  <c r="F32" i="4"/>
  <c r="F33" i="4"/>
  <c r="F34" i="4"/>
  <c r="F35" i="4"/>
  <c r="F36" i="4"/>
  <c r="F29" i="4"/>
  <c r="L25" i="4"/>
  <c r="D14" i="4"/>
  <c r="D15" i="4"/>
  <c r="D16" i="4"/>
  <c r="D17" i="4"/>
  <c r="D18" i="4"/>
  <c r="D19" i="4"/>
  <c r="D20" i="4"/>
  <c r="D21" i="4"/>
  <c r="D13" i="4"/>
  <c r="L4" i="4"/>
  <c r="L5" i="4"/>
  <c r="L6" i="4"/>
  <c r="L7" i="4"/>
  <c r="L8" i="4"/>
  <c r="L9" i="4"/>
  <c r="L3" i="4"/>
  <c r="E4" i="4"/>
  <c r="E5" i="4"/>
  <c r="E6" i="4"/>
  <c r="E7" i="4"/>
  <c r="E8" i="4"/>
  <c r="E9" i="4"/>
  <c r="E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52E7E6-03CD-4910-B4A9-82B29073F00A}" keepAlive="1" name="쿼리 - 퀴즈점수" description="통합 문서의 '퀴즈점수' 쿼리에 대한 연결입니다." type="5" refreshedVersion="0" background="1">
    <dbPr connection="Provider=Microsoft.Mashup.OleDb.1;Data Source=$Workbook$;Location=퀴즈점수;Extended Properties=&quot;&quot;" command="SELECT * FROM [퀴즈점수]"/>
  </connection>
  <connection id="2" xr16:uid="{91E43DF9-72CA-43CC-B626-8381FF744617}" keepAlive="1" name="쿼리 - 퀴즈점수 (2)" description="통합 문서의 '퀴즈점수 (2)' 쿼리에 대한 연결입니다." type="5" refreshedVersion="0" background="1">
    <dbPr connection="Provider=Microsoft.Mashup.OleDb.1;Data Source=$Workbook$;Location=&quot;퀴즈점수 (2)&quot;;Extended Properties=&quot;&quot;" command="SELECT * FROM [퀴즈점수 (2)]"/>
  </connection>
  <connection id="3" xr16:uid="{D82CF3EB-3019-46FF-A011-8E1F54366EE0}" keepAlive="1" name="쿼리 - 퀴즈점수 (3)" description="통합 문서의 '퀴즈점수 (3)' 쿼리에 대한 연결입니다." type="5" refreshedVersion="8" background="1" saveData="1">
    <dbPr connection="Provider=Microsoft.Mashup.OleDb.1;Data Source=$Workbook$;Location=&quot;퀴즈점수 (3)&quot;;Extended Properties=&quot;&quot;" command="SELECT * FROM [퀴즈점수 (3)]"/>
  </connection>
</connections>
</file>

<file path=xl/sharedStrings.xml><?xml version="1.0" encoding="utf-8"?>
<sst xmlns="http://schemas.openxmlformats.org/spreadsheetml/2006/main" count="419" uniqueCount="308">
  <si>
    <t>㈜아디두스 컴퍼니 인사기록</t>
    <phoneticPr fontId="2" type="noConversion"/>
  </si>
  <si>
    <t>나라별 과일 수입 현황</t>
    <phoneticPr fontId="2" type="noConversion"/>
  </si>
  <si>
    <t>과일명</t>
    <phoneticPr fontId="2" type="noConversion"/>
  </si>
  <si>
    <t>수입일자</t>
    <phoneticPr fontId="2" type="noConversion"/>
  </si>
  <si>
    <t>수입국</t>
    <phoneticPr fontId="2" type="noConversion"/>
  </si>
  <si>
    <t>구입액(BOX)</t>
    <phoneticPr fontId="2" type="noConversion"/>
  </si>
  <si>
    <t>수입량</t>
    <phoneticPr fontId="2" type="noConversion"/>
  </si>
  <si>
    <t>세액(BOX)</t>
    <phoneticPr fontId="2" type="noConversion"/>
  </si>
  <si>
    <t>총액</t>
    <phoneticPr fontId="2" type="noConversion"/>
  </si>
  <si>
    <t>망고</t>
    <phoneticPr fontId="2" type="noConversion"/>
  </si>
  <si>
    <t>자몽</t>
    <phoneticPr fontId="2" type="noConversion"/>
  </si>
  <si>
    <t>파인애플</t>
    <phoneticPr fontId="2" type="noConversion"/>
  </si>
  <si>
    <t>멜론</t>
    <phoneticPr fontId="2" type="noConversion"/>
  </si>
  <si>
    <t>환경학과 퀴즈점수 현황</t>
    <phoneticPr fontId="2" type="noConversion"/>
  </si>
  <si>
    <t>바나나</t>
    <phoneticPr fontId="2" type="noConversion"/>
  </si>
  <si>
    <t>오렌지</t>
    <phoneticPr fontId="2" type="noConversion"/>
  </si>
  <si>
    <t>청포도</t>
    <phoneticPr fontId="2" type="noConversion"/>
  </si>
  <si>
    <t>체리</t>
    <phoneticPr fontId="2" type="noConversion"/>
  </si>
  <si>
    <t>블루베리</t>
    <phoneticPr fontId="2" type="noConversion"/>
  </si>
  <si>
    <t>석류</t>
    <phoneticPr fontId="2" type="noConversion"/>
  </si>
  <si>
    <t>합계</t>
    <phoneticPr fontId="2" type="noConversion"/>
  </si>
  <si>
    <t>베트남</t>
    <phoneticPr fontId="2" type="noConversion"/>
  </si>
  <si>
    <t>필리핀</t>
    <phoneticPr fontId="2" type="noConversion"/>
  </si>
  <si>
    <t>대만</t>
    <phoneticPr fontId="2" type="noConversion"/>
  </si>
  <si>
    <t>미국</t>
    <phoneticPr fontId="2" type="noConversion"/>
  </si>
  <si>
    <t>이스라엘</t>
    <phoneticPr fontId="2" type="noConversion"/>
  </si>
  <si>
    <t>터키</t>
    <phoneticPr fontId="2" type="noConversion"/>
  </si>
  <si>
    <t>지역</t>
    <phoneticPr fontId="2" type="noConversion"/>
  </si>
  <si>
    <t>이름</t>
    <phoneticPr fontId="2" type="noConversion"/>
  </si>
  <si>
    <t>성별</t>
    <phoneticPr fontId="2" type="noConversion"/>
  </si>
  <si>
    <t>주민등록번호</t>
    <phoneticPr fontId="2" type="noConversion"/>
  </si>
  <si>
    <t>생년월일</t>
    <phoneticPr fontId="2" type="noConversion"/>
  </si>
  <si>
    <t>동호회 회원관리표</t>
    <phoneticPr fontId="2" type="noConversion"/>
  </si>
  <si>
    <t>망원동</t>
    <phoneticPr fontId="2" type="noConversion"/>
  </si>
  <si>
    <t>서교동</t>
    <phoneticPr fontId="2" type="noConversion"/>
  </si>
  <si>
    <t>합정동</t>
    <phoneticPr fontId="2" type="noConversion"/>
  </si>
  <si>
    <t>이희은</t>
    <phoneticPr fontId="2" type="noConversion"/>
  </si>
  <si>
    <t>정미지</t>
    <phoneticPr fontId="2" type="noConversion"/>
  </si>
  <si>
    <t>최찬웅</t>
    <phoneticPr fontId="2" type="noConversion"/>
  </si>
  <si>
    <t>이재민</t>
    <phoneticPr fontId="2" type="noConversion"/>
  </si>
  <si>
    <t>김치국</t>
    <phoneticPr fontId="2" type="noConversion"/>
  </si>
  <si>
    <t>천대명</t>
    <phoneticPr fontId="2" type="noConversion"/>
  </si>
  <si>
    <t>고우리</t>
    <phoneticPr fontId="2" type="noConversion"/>
  </si>
  <si>
    <t>여</t>
    <phoneticPr fontId="2" type="noConversion"/>
  </si>
  <si>
    <t>남</t>
    <phoneticPr fontId="2" type="noConversion"/>
  </si>
  <si>
    <t>880325-2315487</t>
    <phoneticPr fontId="2" type="noConversion"/>
  </si>
  <si>
    <t>871031-2165351</t>
    <phoneticPr fontId="2" type="noConversion"/>
  </si>
  <si>
    <t>850513-1234875</t>
    <phoneticPr fontId="2" type="noConversion"/>
  </si>
  <si>
    <t>861111-1258743</t>
    <phoneticPr fontId="2" type="noConversion"/>
  </si>
  <si>
    <t>840205-1238795</t>
    <phoneticPr fontId="2" type="noConversion"/>
  </si>
  <si>
    <t>881219-1425836</t>
    <phoneticPr fontId="2" type="noConversion"/>
  </si>
  <si>
    <t>830909-2345913</t>
    <phoneticPr fontId="2" type="noConversion"/>
  </si>
  <si>
    <t>수험번호</t>
    <phoneticPr fontId="2" type="noConversion"/>
  </si>
  <si>
    <t>성명</t>
    <phoneticPr fontId="2" type="noConversion"/>
  </si>
  <si>
    <t>획득점수</t>
    <phoneticPr fontId="2" type="noConversion"/>
  </si>
  <si>
    <t>자격증등급</t>
    <phoneticPr fontId="2" type="noConversion"/>
  </si>
  <si>
    <t>이리오</t>
    <phoneticPr fontId="2" type="noConversion"/>
  </si>
  <si>
    <t>함상모</t>
    <phoneticPr fontId="2" type="noConversion"/>
  </si>
  <si>
    <t>진한석</t>
    <phoneticPr fontId="2" type="noConversion"/>
  </si>
  <si>
    <t>김희체</t>
    <phoneticPr fontId="2" type="noConversion"/>
  </si>
  <si>
    <t>설수인</t>
    <phoneticPr fontId="2" type="noConversion"/>
  </si>
  <si>
    <t>우수아</t>
    <phoneticPr fontId="2" type="noConversion"/>
  </si>
  <si>
    <t>김범도</t>
    <phoneticPr fontId="2" type="noConversion"/>
  </si>
  <si>
    <t>이수정</t>
    <phoneticPr fontId="2" type="noConversion"/>
  </si>
  <si>
    <t>박순심</t>
    <phoneticPr fontId="2" type="noConversion"/>
  </si>
  <si>
    <t>점수</t>
    <phoneticPr fontId="2" type="noConversion"/>
  </si>
  <si>
    <t>등급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</si>
  <si>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</si>
  <si>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</si>
  <si>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</si>
  <si>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</si>
  <si>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멀리뛰기 대표선수 선발 결과</t>
    <phoneticPr fontId="2" type="noConversion"/>
  </si>
  <si>
    <t>1차시기</t>
    <phoneticPr fontId="2" type="noConversion"/>
  </si>
  <si>
    <t>2차시기</t>
    <phoneticPr fontId="2" type="noConversion"/>
  </si>
  <si>
    <t>3차시기</t>
    <phoneticPr fontId="2" type="noConversion"/>
  </si>
  <si>
    <t>평균</t>
    <phoneticPr fontId="2" type="noConversion"/>
  </si>
  <si>
    <t>최종결과</t>
    <phoneticPr fontId="2" type="noConversion"/>
  </si>
  <si>
    <t>강철식</t>
    <phoneticPr fontId="2" type="noConversion"/>
  </si>
  <si>
    <t>김달려</t>
    <phoneticPr fontId="2" type="noConversion"/>
  </si>
  <si>
    <t>박시규</t>
    <phoneticPr fontId="2" type="noConversion"/>
  </si>
  <si>
    <t>이문고</t>
    <phoneticPr fontId="2" type="noConversion"/>
  </si>
  <si>
    <t>최형민</t>
    <phoneticPr fontId="2" type="noConversion"/>
  </si>
  <si>
    <t>김백중</t>
    <phoneticPr fontId="2" type="noConversion"/>
  </si>
  <si>
    <t>황마열</t>
    <phoneticPr fontId="2" type="noConversion"/>
  </si>
  <si>
    <t>문경후</t>
    <phoneticPr fontId="2" type="noConversion"/>
  </si>
  <si>
    <t>중간고사 성적 현황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</si>
  <si>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</si>
  <si>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</si>
  <si>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</si>
  <si>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분류</t>
    <phoneticPr fontId="2" type="noConversion"/>
  </si>
  <si>
    <t>김유성</t>
    <phoneticPr fontId="2" type="noConversion"/>
  </si>
  <si>
    <t>강현욱</t>
    <phoneticPr fontId="2" type="noConversion"/>
  </si>
  <si>
    <t>장진수</t>
    <phoneticPr fontId="2" type="noConversion"/>
  </si>
  <si>
    <t>신경희</t>
    <phoneticPr fontId="2" type="noConversion"/>
  </si>
  <si>
    <t>한인애</t>
    <phoneticPr fontId="2" type="noConversion"/>
  </si>
  <si>
    <t>나여인</t>
    <phoneticPr fontId="2" type="noConversion"/>
  </si>
  <si>
    <t>박신현</t>
    <phoneticPr fontId="2" type="noConversion"/>
  </si>
  <si>
    <t>대리점별 제품 판매 현황</t>
    <phoneticPr fontId="2" type="noConversion"/>
  </si>
  <si>
    <t>대리점</t>
    <phoneticPr fontId="2" type="noConversion"/>
  </si>
  <si>
    <t>제품코드</t>
    <phoneticPr fontId="2" type="noConversion"/>
  </si>
  <si>
    <t>제품명</t>
    <phoneticPr fontId="2" type="noConversion"/>
  </si>
  <si>
    <t>판매가</t>
    <phoneticPr fontId="2" type="noConversion"/>
  </si>
  <si>
    <t>판매량</t>
    <phoneticPr fontId="2" type="noConversion"/>
  </si>
  <si>
    <t>판매금액</t>
    <phoneticPr fontId="2" type="noConversion"/>
  </si>
  <si>
    <t>서울</t>
    <phoneticPr fontId="2" type="noConversion"/>
  </si>
  <si>
    <t>광주</t>
    <phoneticPr fontId="2" type="noConversion"/>
  </si>
  <si>
    <t>부산</t>
    <phoneticPr fontId="2" type="noConversion"/>
  </si>
  <si>
    <t>대전</t>
    <phoneticPr fontId="2" type="noConversion"/>
  </si>
  <si>
    <t>컴퓨터 판매 우수 대리점</t>
    <phoneticPr fontId="2" type="noConversion"/>
  </si>
  <si>
    <t>CT-1025</t>
    <phoneticPr fontId="2" type="noConversion"/>
  </si>
  <si>
    <t>NG-1201</t>
    <phoneticPr fontId="2" type="noConversion"/>
  </si>
  <si>
    <t>TR-0823</t>
    <phoneticPr fontId="2" type="noConversion"/>
  </si>
  <si>
    <t>컴퓨터</t>
    <phoneticPr fontId="2" type="noConversion"/>
  </si>
  <si>
    <t>3DTV</t>
    <phoneticPr fontId="2" type="noConversion"/>
  </si>
  <si>
    <t>냉장고</t>
    <phoneticPr fontId="2" type="noConversion"/>
  </si>
  <si>
    <t>미니오븐</t>
    <phoneticPr fontId="2" type="noConversion"/>
  </si>
  <si>
    <t>전기밥솥</t>
    <phoneticPr fontId="2" type="noConversion"/>
  </si>
  <si>
    <t>믹서기</t>
    <phoneticPr fontId="2" type="noConversion"/>
  </si>
  <si>
    <t>전자레인지</t>
    <phoneticPr fontId="2" type="noConversion"/>
  </si>
  <si>
    <t>미니냉장고</t>
    <phoneticPr fontId="2" type="noConversion"/>
  </si>
  <si>
    <t>가습기</t>
    <phoneticPr fontId="2" type="noConversion"/>
  </si>
  <si>
    <t>선풍기</t>
    <phoneticPr fontId="2" type="noConversion"/>
  </si>
  <si>
    <t>1일생산량</t>
    <phoneticPr fontId="2" type="noConversion"/>
  </si>
  <si>
    <t>생산일수</t>
    <phoneticPr fontId="2" type="noConversion"/>
  </si>
  <si>
    <t>총생산량</t>
    <phoneticPr fontId="2" type="noConversion"/>
  </si>
  <si>
    <t>불량품</t>
    <phoneticPr fontId="2" type="noConversion"/>
  </si>
  <si>
    <t>출고량</t>
    <phoneticPr fontId="2" type="noConversion"/>
  </si>
  <si>
    <t>사원명</t>
    <phoneticPr fontId="2" type="noConversion"/>
  </si>
  <si>
    <t>직위</t>
    <phoneticPr fontId="2" type="noConversion"/>
  </si>
  <si>
    <t>호봉</t>
    <phoneticPr fontId="2" type="noConversion"/>
  </si>
  <si>
    <t>기본급</t>
    <phoneticPr fontId="2" type="noConversion"/>
  </si>
  <si>
    <t>초과근로수당</t>
    <phoneticPr fontId="2" type="noConversion"/>
  </si>
  <si>
    <t>상여금</t>
    <phoneticPr fontId="2" type="noConversion"/>
  </si>
  <si>
    <t>세금</t>
    <phoneticPr fontId="2" type="noConversion"/>
  </si>
  <si>
    <t>실지급액</t>
    <phoneticPr fontId="2" type="noConversion"/>
  </si>
  <si>
    <t>사원별 급여 지급 현황</t>
    <phoneticPr fontId="2" type="noConversion"/>
  </si>
  <si>
    <t>장하다</t>
    <phoneticPr fontId="2" type="noConversion"/>
  </si>
  <si>
    <t>백만원</t>
    <phoneticPr fontId="2" type="noConversion"/>
  </si>
  <si>
    <t>장애자</t>
    <phoneticPr fontId="2" type="noConversion"/>
  </si>
  <si>
    <t>정상인</t>
    <phoneticPr fontId="2" type="noConversion"/>
  </si>
  <si>
    <t>전용택</t>
    <phoneticPr fontId="2" type="noConversion"/>
  </si>
  <si>
    <t>조만근</t>
    <phoneticPr fontId="2" type="noConversion"/>
  </si>
  <si>
    <t>허영심</t>
    <phoneticPr fontId="2" type="noConversion"/>
  </si>
  <si>
    <t>신기해</t>
    <phoneticPr fontId="2" type="noConversion"/>
  </si>
  <si>
    <t>양귀비</t>
    <phoneticPr fontId="2" type="noConversion"/>
  </si>
  <si>
    <t>조약돌</t>
    <phoneticPr fontId="2" type="noConversion"/>
  </si>
  <si>
    <t>강북남</t>
    <phoneticPr fontId="2" type="noConversion"/>
  </si>
  <si>
    <t>이겨래</t>
    <phoneticPr fontId="2" type="noConversion"/>
  </si>
  <si>
    <t>부장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</si>
  <si>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</si>
  <si>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</si>
  <si>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</si>
  <si>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기호식품 수입 현황</t>
    <phoneticPr fontId="2" type="noConversion"/>
  </si>
  <si>
    <t>수입업체</t>
    <phoneticPr fontId="2" type="noConversion"/>
  </si>
  <si>
    <t>식품명</t>
    <phoneticPr fontId="2" type="noConversion"/>
  </si>
  <si>
    <t>수입월</t>
    <phoneticPr fontId="2" type="noConversion"/>
  </si>
  <si>
    <t>수입량(t)</t>
    <phoneticPr fontId="2" type="noConversion"/>
  </si>
  <si>
    <t>수입가(t)</t>
    <phoneticPr fontId="2" type="noConversion"/>
  </si>
  <si>
    <t>판매가(t)</t>
    <phoneticPr fontId="2" type="noConversion"/>
  </si>
  <si>
    <t>한종무역</t>
    <phoneticPr fontId="2" type="noConversion"/>
  </si>
  <si>
    <t>커피</t>
    <phoneticPr fontId="2" type="noConversion"/>
  </si>
  <si>
    <t>에티오피아</t>
    <phoneticPr fontId="2" type="noConversion"/>
  </si>
  <si>
    <t>5월</t>
    <phoneticPr fontId="2" type="noConversion"/>
  </si>
  <si>
    <t>대망식품</t>
    <phoneticPr fontId="2" type="noConversion"/>
  </si>
  <si>
    <t>원당(설탕)</t>
    <phoneticPr fontId="2" type="noConversion"/>
  </si>
  <si>
    <t>인도</t>
    <phoneticPr fontId="2" type="noConversion"/>
  </si>
  <si>
    <t>6월</t>
    <phoneticPr fontId="2" type="noConversion"/>
  </si>
  <si>
    <t>세계식품</t>
    <phoneticPr fontId="2" type="noConversion"/>
  </si>
  <si>
    <t>코코아</t>
    <phoneticPr fontId="2" type="noConversion"/>
  </si>
  <si>
    <t>코트디부아르</t>
    <phoneticPr fontId="2" type="noConversion"/>
  </si>
  <si>
    <t>망오통상</t>
    <phoneticPr fontId="2" type="noConversion"/>
  </si>
  <si>
    <t>오렌지주스</t>
    <phoneticPr fontId="2" type="noConversion"/>
  </si>
  <si>
    <t>쿠키코리아</t>
    <phoneticPr fontId="2" type="noConversion"/>
  </si>
  <si>
    <t>쿠키</t>
    <phoneticPr fontId="2" type="noConversion"/>
  </si>
  <si>
    <t>이탈리아</t>
    <phoneticPr fontId="2" type="noConversion"/>
  </si>
  <si>
    <t>유기농식품</t>
    <phoneticPr fontId="2" type="noConversion"/>
  </si>
  <si>
    <t>견과류</t>
    <phoneticPr fontId="2" type="noConversion"/>
  </si>
  <si>
    <t>슈가무역</t>
    <phoneticPr fontId="2" type="noConversion"/>
  </si>
  <si>
    <t>사탕</t>
    <phoneticPr fontId="2" type="noConversion"/>
  </si>
  <si>
    <t>영국</t>
    <phoneticPr fontId="2" type="noConversion"/>
  </si>
  <si>
    <t>전문통상</t>
    <phoneticPr fontId="2" type="noConversion"/>
  </si>
  <si>
    <t>초콜릿</t>
    <phoneticPr fontId="2" type="noConversion"/>
  </si>
  <si>
    <t>스위스</t>
    <phoneticPr fontId="2" type="noConversion"/>
  </si>
  <si>
    <t>맛나식품</t>
    <phoneticPr fontId="2" type="noConversion"/>
  </si>
  <si>
    <t>건과일</t>
    <phoneticPr fontId="2" type="noConversion"/>
  </si>
  <si>
    <t>태국</t>
    <phoneticPr fontId="2" type="noConversion"/>
  </si>
  <si>
    <t>상여금비율</t>
    <phoneticPr fontId="2" type="noConversion"/>
  </si>
  <si>
    <t>사원별 출장비 지출내역</t>
    <phoneticPr fontId="2" type="noConversion"/>
  </si>
  <si>
    <t>출장지역</t>
    <phoneticPr fontId="2" type="noConversion"/>
  </si>
  <si>
    <t>출장기간</t>
    <phoneticPr fontId="2" type="noConversion"/>
  </si>
  <si>
    <t>교통비</t>
    <phoneticPr fontId="2" type="noConversion"/>
  </si>
  <si>
    <t>식비</t>
    <phoneticPr fontId="2" type="noConversion"/>
  </si>
  <si>
    <t>숙박비</t>
    <phoneticPr fontId="2" type="noConversion"/>
  </si>
  <si>
    <t>부대비용</t>
    <phoneticPr fontId="2" type="noConversion"/>
  </si>
  <si>
    <t>총합계</t>
    <phoneticPr fontId="2" type="noConversion"/>
  </si>
  <si>
    <t>목포</t>
    <phoneticPr fontId="2" type="noConversion"/>
  </si>
  <si>
    <t>대구</t>
    <phoneticPr fontId="2" type="noConversion"/>
  </si>
  <si>
    <t>울산</t>
    <phoneticPr fontId="2" type="noConversion"/>
  </si>
  <si>
    <t>거제</t>
    <phoneticPr fontId="2" type="noConversion"/>
  </si>
  <si>
    <t>여수</t>
    <phoneticPr fontId="2" type="noConversion"/>
  </si>
  <si>
    <t>청주</t>
    <phoneticPr fontId="2" type="noConversion"/>
  </si>
  <si>
    <t>동해</t>
    <phoneticPr fontId="2" type="noConversion"/>
  </si>
  <si>
    <t>서은손</t>
    <phoneticPr fontId="2" type="noConversion"/>
  </si>
  <si>
    <t>문상희</t>
    <phoneticPr fontId="2" type="noConversion"/>
  </si>
  <si>
    <t>은정나</t>
    <phoneticPr fontId="2" type="noConversion"/>
  </si>
  <si>
    <t>신나면</t>
    <phoneticPr fontId="2" type="noConversion"/>
  </si>
  <si>
    <t>강희동</t>
    <phoneticPr fontId="2" type="noConversion"/>
  </si>
  <si>
    <t>권노동</t>
    <phoneticPr fontId="2" type="noConversion"/>
  </si>
  <si>
    <t>장수학</t>
    <phoneticPr fontId="2" type="noConversion"/>
  </si>
  <si>
    <t>백두산</t>
    <phoneticPr fontId="2" type="noConversion"/>
  </si>
  <si>
    <t>한국민</t>
    <phoneticPr fontId="2" type="noConversion"/>
  </si>
  <si>
    <t>7일</t>
    <phoneticPr fontId="2" type="noConversion"/>
  </si>
  <si>
    <t>5일</t>
    <phoneticPr fontId="2" type="noConversion"/>
  </si>
  <si>
    <t>10일</t>
    <phoneticPr fontId="2" type="noConversion"/>
  </si>
  <si>
    <t>3일</t>
    <phoneticPr fontId="2" type="noConversion"/>
  </si>
  <si>
    <t>6일</t>
    <phoneticPr fontId="2" type="noConversion"/>
  </si>
  <si>
    <t>8일</t>
    <phoneticPr fontId="2" type="noConversion"/>
  </si>
  <si>
    <t>4일</t>
    <phoneticPr fontId="2" type="noConversion"/>
  </si>
  <si>
    <t>자격증등급 분류표</t>
    <phoneticPr fontId="2" type="noConversion"/>
  </si>
  <si>
    <t xml:space="preserve"> [등급표]</t>
    <phoneticPr fontId="2" type="noConversion"/>
  </si>
  <si>
    <t>[표3]</t>
    <phoneticPr fontId="2" type="noConversion"/>
  </si>
  <si>
    <t>[표1]</t>
    <phoneticPr fontId="2" type="noConversion"/>
  </si>
  <si>
    <t>[표2]</t>
    <phoneticPr fontId="2" type="noConversion"/>
  </si>
  <si>
    <t>[표4]</t>
    <phoneticPr fontId="2" type="noConversion"/>
  </si>
  <si>
    <t>[표5]</t>
    <phoneticPr fontId="2" type="noConversion"/>
  </si>
  <si>
    <t>김연다</t>
    <phoneticPr fontId="2" type="noConversion"/>
  </si>
  <si>
    <t>사원코드</t>
    <phoneticPr fontId="2" type="noConversion"/>
  </si>
  <si>
    <t>부서명</t>
    <phoneticPr fontId="2" type="noConversion"/>
  </si>
  <si>
    <t>경력</t>
    <phoneticPr fontId="2" type="noConversion"/>
  </si>
  <si>
    <t>연락처</t>
    <phoneticPr fontId="2" type="noConversion"/>
  </si>
  <si>
    <t>nede-01</t>
    <phoneticPr fontId="2" type="noConversion"/>
  </si>
  <si>
    <t>인사부</t>
    <phoneticPr fontId="2" type="noConversion"/>
  </si>
  <si>
    <t>지대승</t>
    <phoneticPr fontId="2" type="noConversion"/>
  </si>
  <si>
    <t>800621-1234567</t>
    <phoneticPr fontId="2" type="noConversion"/>
  </si>
  <si>
    <t>8년 6개월</t>
    <phoneticPr fontId="2" type="noConversion"/>
  </si>
  <si>
    <t>010-6859-9857</t>
    <phoneticPr fontId="2" type="noConversion"/>
  </si>
  <si>
    <t>pars-02</t>
    <phoneticPr fontId="2" type="noConversion"/>
  </si>
  <si>
    <t>영업부</t>
    <phoneticPr fontId="2" type="noConversion"/>
  </si>
  <si>
    <t>박수해</t>
    <phoneticPr fontId="2" type="noConversion"/>
  </si>
  <si>
    <t>820101-2352345</t>
    <phoneticPr fontId="2" type="noConversion"/>
  </si>
  <si>
    <t>7년 3개월</t>
    <phoneticPr fontId="2" type="noConversion"/>
  </si>
  <si>
    <t>010-3598-5274</t>
    <phoneticPr fontId="2" type="noConversion"/>
  </si>
  <si>
    <t>salo-01</t>
    <phoneticPr fontId="2" type="noConversion"/>
  </si>
  <si>
    <t>자재부</t>
    <phoneticPr fontId="2" type="noConversion"/>
  </si>
  <si>
    <t>김애선</t>
    <phoneticPr fontId="2" type="noConversion"/>
  </si>
  <si>
    <t>891009-2459872</t>
    <phoneticPr fontId="2" type="noConversion"/>
  </si>
  <si>
    <t>1년 5개월</t>
    <phoneticPr fontId="2" type="noConversion"/>
  </si>
  <si>
    <t>010-3879-5178</t>
    <phoneticPr fontId="2" type="noConversion"/>
  </si>
  <si>
    <t>kand-03</t>
    <phoneticPr fontId="2" type="noConversion"/>
  </si>
  <si>
    <t>생산부</t>
    <phoneticPr fontId="2" type="noConversion"/>
  </si>
  <si>
    <t>최완성</t>
    <phoneticPr fontId="2" type="noConversion"/>
  </si>
  <si>
    <t>870305-1387267</t>
    <phoneticPr fontId="2" type="noConversion"/>
  </si>
  <si>
    <t>3년 2개월</t>
    <phoneticPr fontId="2" type="noConversion"/>
  </si>
  <si>
    <t>010-6845-2987</t>
    <phoneticPr fontId="2" type="noConversion"/>
  </si>
  <si>
    <t>coki-02</t>
    <phoneticPr fontId="2" type="noConversion"/>
  </si>
  <si>
    <t>기술부</t>
    <phoneticPr fontId="2" type="noConversion"/>
  </si>
  <si>
    <t>강정호</t>
    <phoneticPr fontId="2" type="noConversion"/>
  </si>
  <si>
    <t>850815-1298684</t>
    <phoneticPr fontId="2" type="noConversion"/>
  </si>
  <si>
    <t>6년 8개월</t>
    <phoneticPr fontId="2" type="noConversion"/>
  </si>
  <si>
    <t>010-9988-6844</t>
    <phoneticPr fontId="2" type="noConversion"/>
  </si>
  <si>
    <t>head-01</t>
    <phoneticPr fontId="2" type="noConversion"/>
  </si>
  <si>
    <t>경리부</t>
    <phoneticPr fontId="2" type="noConversion"/>
  </si>
  <si>
    <t>최민경</t>
    <phoneticPr fontId="2" type="noConversion"/>
  </si>
  <si>
    <t>881225-2685445</t>
    <phoneticPr fontId="2" type="noConversion"/>
  </si>
  <si>
    <t>2년 1개월</t>
    <phoneticPr fontId="2" type="noConversion"/>
  </si>
  <si>
    <t>010-6857-2247</t>
    <phoneticPr fontId="2" type="noConversion"/>
  </si>
  <si>
    <t>pure-01</t>
    <phoneticPr fontId="2" type="noConversion"/>
  </si>
  <si>
    <t>기획부</t>
    <phoneticPr fontId="2" type="noConversion"/>
  </si>
  <si>
    <t>윤철성</t>
    <phoneticPr fontId="2" type="noConversion"/>
  </si>
  <si>
    <t>830730-1287598</t>
    <phoneticPr fontId="2" type="noConversion"/>
  </si>
  <si>
    <t>4년 10개월</t>
    <phoneticPr fontId="2" type="noConversion"/>
  </si>
  <si>
    <t>010-5834-7077</t>
    <phoneticPr fontId="2" type="noConversion"/>
  </si>
  <si>
    <t>학번</t>
  </si>
  <si>
    <t>이름</t>
  </si>
  <si>
    <t>퀴즈A</t>
  </si>
  <si>
    <t>퀴즈B</t>
  </si>
  <si>
    <t>퀴즈C</t>
  </si>
  <si>
    <t>퀴즈D</t>
  </si>
  <si>
    <t>퀴즈E</t>
  </si>
  <si>
    <t>합계</t>
  </si>
  <si>
    <t>평균</t>
  </si>
  <si>
    <t>김소예</t>
  </si>
  <si>
    <t>최헌기</t>
  </si>
  <si>
    <t>신영숙</t>
  </si>
  <si>
    <t>김상진</t>
  </si>
  <si>
    <t>장애라</t>
  </si>
  <si>
    <t>신문고</t>
  </si>
  <si>
    <t>심은섭</t>
  </si>
  <si>
    <t>유미라</t>
  </si>
  <si>
    <t>이근상</t>
  </si>
  <si>
    <t>양승영</t>
  </si>
  <si>
    <t>상여금비율</t>
  </si>
  <si>
    <t>백만원</t>
  </si>
  <si>
    <t>정상인</t>
  </si>
  <si>
    <t>조만근</t>
  </si>
  <si>
    <t>비율증가</t>
  </si>
  <si>
    <t>비율인하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</si>
  <si>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</si>
  <si>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</si>
  <si>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</si>
  <si>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</si>
  <si>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</si>
  <si>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</si>
  <si>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</si>
  <si>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[표1] 1/4분기 소형 가전제품 생산 현황</t>
    <phoneticPr fontId="2" type="noConversion"/>
  </si>
  <si>
    <t>[표2] 2/4분기 소형 가전제품 생산 현황</t>
    <phoneticPr fontId="2" type="noConversion"/>
  </si>
  <si>
    <t>소형 가전제품 생산 현황(3/4분기까지)</t>
    <phoneticPr fontId="2" type="noConversion"/>
  </si>
  <si>
    <t>[표3] 3/4분기 소형 가전제품 생산 현황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</si>
</sst>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.0_ "/>
    <numFmt numFmtId="177" formatCode="0_);[Red]\(0\)"/>
    <numFmt numFmtId="178" formatCode="#,##0&quot;원&quot;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u val="double"/>
      <sz val="16"/>
      <color theme="1"/>
      <name val="굴림체"/>
      <family val="3"/>
      <charset val="129"/>
    </font>
    <font>
      <sz val="12"/>
      <color rgb="FFFFFF00"/>
      <name val="궁서체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C00000"/>
      <name val="맑은 고딕"/>
      <family val="2"/>
      <charset val="129"/>
      <scheme val="minor"/>
    </font>
    <font>
      <sz val="11"/>
      <color rgb="FFC0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/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41" fontId="0" fillId="0" borderId="0" xfId="1" applyFont="1" applyBorder="1">
      <alignment vertical="center"/>
    </xf>
    <xf numFmtId="41" fontId="6" fillId="0" borderId="1" xfId="1" applyFont="1" applyBorder="1">
      <alignment vertical="center"/>
    </xf>
    <xf numFmtId="9" fontId="0" fillId="0" borderId="1" xfId="0" applyNumberForma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31" fontId="0" fillId="0" borderId="1" xfId="0" applyNumberFormat="1" applyBorder="1" applyAlignment="1">
      <alignment horizontal="center" vertical="center"/>
    </xf>
    <xf numFmtId="41" fontId="0" fillId="0" borderId="1" xfId="0" applyNumberFormat="1" applyBorder="1">
      <alignment vertical="center"/>
    </xf>
    <xf numFmtId="9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0" fillId="0" borderId="4" xfId="0" applyNumberFormat="1" applyBorder="1">
      <alignment vertical="center"/>
    </xf>
    <xf numFmtId="0" fontId="12" fillId="4" borderId="2" xfId="0" applyFont="1" applyFill="1" applyBorder="1" applyAlignment="1">
      <alignment horizontal="left" vertical="center"/>
    </xf>
    <xf numFmtId="0" fontId="11" fillId="4" borderId="3" xfId="0" applyFont="1" applyFill="1" applyBorder="1" applyAlignment="1">
      <alignment horizontal="left" vertical="center"/>
    </xf>
    <xf numFmtId="0" fontId="12" fillId="4" borderId="3" xfId="0" applyFont="1" applyFill="1" applyBorder="1" applyAlignment="1">
      <alignment horizontal="left" vertical="center"/>
    </xf>
    <xf numFmtId="0" fontId="0" fillId="0" borderId="5" xfId="0" applyBorder="1">
      <alignment vertical="center"/>
    </xf>
    <xf numFmtId="0" fontId="13" fillId="5" borderId="0" xfId="0" applyFont="1" applyFill="1" applyAlignment="1">
      <alignment horizontal="left" vertical="center"/>
    </xf>
    <xf numFmtId="0" fontId="14" fillId="5" borderId="5" xfId="0" applyFont="1" applyFill="1" applyBorder="1" applyAlignment="1">
      <alignment horizontal="left" vertical="center"/>
    </xf>
    <xf numFmtId="0" fontId="15" fillId="5" borderId="5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1" fillId="4" borderId="3" xfId="0" applyFont="1" applyFill="1" applyBorder="1" applyAlignment="1">
      <alignment horizontal="right" vertical="center"/>
    </xf>
    <xf numFmtId="0" fontId="11" fillId="4" borderId="2" xfId="0" applyFont="1" applyFill="1" applyBorder="1" applyAlignment="1">
      <alignment horizontal="right" vertical="center"/>
    </xf>
    <xf numFmtId="9" fontId="0" fillId="6" borderId="0" xfId="0" applyNumberFormat="1" applyFill="1">
      <alignment vertical="center"/>
    </xf>
    <xf numFmtId="0" fontId="16" fillId="0" borderId="0" xfId="0" applyFont="1" applyAlignment="1">
      <alignment vertical="top" wrapText="1"/>
    </xf>
    <xf numFmtId="0" fontId="17" fillId="7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4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00" b="0" i="0" u="none" strike="noStrike" kern="1200" spc="0" baseline="0">
                <a:solidFill>
                  <a:srgbClr val="7030A0"/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en-US" altLang="ko-KR" sz="1900">
                <a:solidFill>
                  <a:srgbClr val="7030A0"/>
                </a:solidFill>
                <a:latin typeface="궁서체" panose="02030609000101010101" pitchFamily="17" charset="-127"/>
                <a:ea typeface="궁서체" panose="02030609000101010101" pitchFamily="17" charset="-127"/>
              </a:rPr>
              <a:t>5</a:t>
            </a:r>
            <a:r>
              <a:rPr lang="ko-KR" altLang="en-US" sz="1900">
                <a:solidFill>
                  <a:srgbClr val="7030A0"/>
                </a:solidFill>
                <a:latin typeface="궁서체" panose="02030609000101010101" pitchFamily="17" charset="-127"/>
                <a:ea typeface="궁서체" panose="02030609000101010101" pitchFamily="17" charset="-127"/>
              </a:rPr>
              <a:t>월 수입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00" b="0" i="0" u="none" strike="noStrike" kern="1200" spc="0" baseline="0">
              <a:solidFill>
                <a:srgbClr val="7030A0"/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차트작업!$F$3</c:f>
              <c:strCache>
                <c:ptCount val="1"/>
                <c:pt idx="0">
                  <c:v>수입가(t)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(차트작업!$B$4,차트작업!$B$6,차트작업!$B$8,차트작업!$B$10:$B$12)</c:f>
              <c:strCache>
                <c:ptCount val="6"/>
                <c:pt idx="0">
                  <c:v>커피</c:v>
                </c:pt>
                <c:pt idx="1">
                  <c:v>코코아</c:v>
                </c:pt>
                <c:pt idx="2">
                  <c:v>쿠키</c:v>
                </c:pt>
                <c:pt idx="3">
                  <c:v>사탕</c:v>
                </c:pt>
                <c:pt idx="4">
                  <c:v>초콜릿</c:v>
                </c:pt>
                <c:pt idx="5">
                  <c:v>건과일</c:v>
                </c:pt>
              </c:strCache>
            </c:strRef>
          </c:cat>
          <c:val>
            <c:numRef>
              <c:f>(차트작업!$F$4,차트작업!$F$6,차트작업!$F$8,차트작업!$F$10:$F$12)</c:f>
              <c:numCache>
                <c:formatCode>_(* #,##0_);_(* \(#,##0\);_(* "-"_);_(@_)</c:formatCode>
                <c:ptCount val="6"/>
                <c:pt idx="0">
                  <c:v>22650000</c:v>
                </c:pt>
                <c:pt idx="1">
                  <c:v>17500000</c:v>
                </c:pt>
                <c:pt idx="2">
                  <c:v>26500000</c:v>
                </c:pt>
                <c:pt idx="3">
                  <c:v>19740000</c:v>
                </c:pt>
                <c:pt idx="4">
                  <c:v>23050000</c:v>
                </c:pt>
                <c:pt idx="5">
                  <c:v>18500000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8D-40DA-B6D6-1A8F4DBAA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1505872"/>
        <c:axId val="491496304"/>
      </c:barChart>
      <c:lineChart>
        <c:grouping val="standard"/>
        <c:varyColors val="0"/>
        <c:ser>
          <c:idx val="1"/>
          <c:order val="1"/>
          <c:tx>
            <c:strRef>
              <c:f>차트작업!$G$3</c:f>
              <c:strCache>
                <c:ptCount val="1"/>
                <c:pt idx="0">
                  <c:v>판매가(t)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8D-40DA-B6D6-1A8F4DBAA7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(차트작업!$B$4,차트작업!$B$6,차트작업!$B$8,차트작업!$B$10:$B$12)</c:f>
              <c:strCache>
                <c:ptCount val="6"/>
                <c:pt idx="0">
                  <c:v>커피</c:v>
                </c:pt>
                <c:pt idx="1">
                  <c:v>코코아</c:v>
                </c:pt>
                <c:pt idx="2">
                  <c:v>쿠키</c:v>
                </c:pt>
                <c:pt idx="3">
                  <c:v>사탕</c:v>
                </c:pt>
                <c:pt idx="4">
                  <c:v>초콜릿</c:v>
                </c:pt>
                <c:pt idx="5">
                  <c:v>건과일</c:v>
                </c:pt>
              </c:strCache>
            </c:strRef>
          </c:cat>
          <c:val>
            <c:numRef>
              <c:f>(차트작업!$G$4,차트작업!$G$6,차트작업!$G$8,차트작업!$G$10:$G$12)</c:f>
              <c:numCache>
                <c:formatCode>_(* #,##0_);_(* \(#,##0\);_(* "-"_);_(@_)</c:formatCode>
                <c:ptCount val="6"/>
                <c:pt idx="0">
                  <c:v>31710000</c:v>
                </c:pt>
                <c:pt idx="1">
                  <c:v>24500000</c:v>
                </c:pt>
                <c:pt idx="2">
                  <c:v>37100000</c:v>
                </c:pt>
                <c:pt idx="3">
                  <c:v>27636000</c:v>
                </c:pt>
                <c:pt idx="4">
                  <c:v>32270000</c:v>
                </c:pt>
                <c:pt idx="5">
                  <c:v>25900000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D-40DA-B6D6-1A8F4DBAA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05872"/>
        <c:axId val="491496304"/>
      </c:lineChart>
      <c:catAx>
        <c:axId val="49150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1496304"/>
        <c:crosses val="autoZero"/>
        <c:auto val="1"/>
        <c:lblAlgn val="ctr"/>
        <c:lblOffset val="100"/>
        <c:noMultiLvlLbl val="0"/>
      </c:catAx>
      <c:valAx>
        <c:axId val="4914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1505872"/>
        <c:crosses val="autoZero"/>
        <c:crossBetween val="between"/>
        <c:majorUnit val="1000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3</xdr:col>
      <xdr:colOff>0</xdr:colOff>
      <xdr:row>16</xdr:row>
      <xdr:rowOff>0</xdr:rowOff>
    </xdr:to>
    <xdr:sp macro="[0]!총합계" textlink="">
      <xdr:nvSpPr>
        <xdr:cNvPr id="4" name="직사각형 1">
          <a:extLst>
            <a:ext uri="{FF2B5EF4-FFF2-40B4-BE49-F238E27FC236}">
              <a16:creationId xmlns:a16="http://schemas.microsoft.com/office/drawing/2014/main" id="{48E9A5C1-B947-524B-31B9-12E91DA5C8EE}"/>
            </a:ext>
          </a:extLst>
        </xdr:cNvPr>
        <xdr:cNvSpPr/>
      </xdr:nvSpPr>
      <xdr:spPr>
        <a:xfrm>
          <a:off x="685800" y="2981325"/>
          <a:ext cx="1371600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총합계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서식" textlink="">
      <xdr:nvSpPr>
        <xdr:cNvPr id="5" name="사각형: 빗면 1">
          <a:extLst>
            <a:ext uri="{FF2B5EF4-FFF2-40B4-BE49-F238E27FC236}">
              <a16:creationId xmlns:a16="http://schemas.microsoft.com/office/drawing/2014/main" id="{91A0130F-D3E5-8B8C-6A2E-F1E009694325}"/>
            </a:ext>
          </a:extLst>
        </xdr:cNvPr>
        <xdr:cNvSpPr/>
      </xdr:nvSpPr>
      <xdr:spPr>
        <a:xfrm>
          <a:off x="2771775" y="2981325"/>
          <a:ext cx="14287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12</xdr:row>
      <xdr:rowOff>200025</xdr:rowOff>
    </xdr:from>
    <xdr:to>
      <xdr:col>7</xdr:col>
      <xdr:colOff>0</xdr:colOff>
      <xdr:row>27</xdr:row>
      <xdr:rowOff>200025</xdr:rowOff>
    </xdr:to>
    <xdr:graphicFrame macro="">
      <xdr:nvGraphicFramePr>
        <xdr:cNvPr id="4" name="차트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A7238C0-C96B-4925-B1F3-2BA97E13A506}" autoFormatId="16" applyNumberFormats="0" applyBorderFormats="0" applyFontFormats="0" applyPatternFormats="0" applyAlignmentFormats="0" applyWidthHeightFormats="0">
  <queryTableRefresh nextId="10">
    <queryTableFields count="9">
      <queryTableField id="1" name="학번" tableColumnId="1"/>
      <queryTableField id="2" name="이름" tableColumnId="2"/>
      <queryTableField id="3" name="퀴즈A" tableColumnId="3"/>
      <queryTableField id="4" name="퀴즈B" tableColumnId="4"/>
      <queryTableField id="5" name="퀴즈C" tableColumnId="5"/>
      <queryTableField id="6" name="퀴즈D" tableColumnId="6"/>
      <queryTableField id="7" name="퀴즈E" tableColumnId="7"/>
      <queryTableField id="8" name="합계" tableColumnId="8"/>
      <queryTableField id="9" name="평균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229CE1-1B47-4B8D-B248-A517E998F411}" name="퀴즈점수__3" displayName="퀴즈점수__3" ref="B4:J14" tableType="queryTable" totalsRowShown="0">
  <autoFilter ref="B4:J14" xr:uid="{0B229CE1-1B47-4B8D-B248-A517E998F411}"/>
  <tableColumns count="9">
    <tableColumn id="1" xr3:uid="{57525B20-EF50-4069-BD85-8216C2831CD7}" uniqueName="1" name="학번" queryTableFieldId="1"/>
    <tableColumn id="2" xr3:uid="{B70E4E63-207B-45AF-9FC7-E264263083D0}" uniqueName="2" name="이름" queryTableFieldId="2" dataDxfId="0"/>
    <tableColumn id="3" xr3:uid="{64049072-FA19-4045-916E-17D57005041E}" uniqueName="3" name="퀴즈A" queryTableFieldId="3"/>
    <tableColumn id="4" xr3:uid="{07EE5191-A9DB-4C1B-8F66-6F254C119B33}" uniqueName="4" name="퀴즈B" queryTableFieldId="4"/>
    <tableColumn id="5" xr3:uid="{DD8A9644-A3BD-448A-850B-8E4AAAEE1176}" uniqueName="5" name="퀴즈C" queryTableFieldId="5"/>
    <tableColumn id="6" xr3:uid="{579FF858-0509-41FA-9BD1-A4D65E55F6C6}" uniqueName="6" name="퀴즈D" queryTableFieldId="6"/>
    <tableColumn id="7" xr3:uid="{FB5B744F-21BE-48DA-92E8-574FDB495A38}" uniqueName="7" name="퀴즈E" queryTableFieldId="7"/>
    <tableColumn id="8" xr3:uid="{B0D3B0AE-1C95-48F2-A589-40091B53E31D}" uniqueName="8" name="합계" queryTableFieldId="8"/>
    <tableColumn id="9" xr3:uid="{780FB57F-A49F-4E51-AE51-9E8A4C3B745B}" uniqueName="9" name="평균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6.5" x14ac:dyDescent="0.3"/>
  <cols>
    <col min="4" max="4" width="15.875" bestFit="1" customWidth="1"/>
    <col min="5" max="5" width="10.875" bestFit="1" customWidth="1"/>
    <col min="6" max="6" width="14.375" bestFit="1" customWidth="1"/>
  </cols>
  <sheetData>
    <row r="1" spans="1:6" x14ac:dyDescent="0.3">
      <c r="A1" t="s">
        <v>0</v>
      </c>
    </row>
    <row r="3" spans="1:6" x14ac:dyDescent="0.3">
      <c r="A3" t="s">
        <v>226</v>
      </c>
      <c r="B3" t="s">
        <v>227</v>
      </c>
      <c r="C3" t="s">
        <v>127</v>
      </c>
      <c r="D3" t="s">
        <v>30</v>
      </c>
      <c r="E3" t="s">
        <v>228</v>
      </c>
      <c r="F3" t="s">
        <v>229</v>
      </c>
    </row>
    <row r="4" spans="1:6" x14ac:dyDescent="0.3">
      <c r="A4" t="s">
        <v>230</v>
      </c>
      <c r="B4" t="s">
        <v>231</v>
      </c>
      <c r="C4" t="s">
        <v>232</v>
      </c>
      <c r="D4" t="s">
        <v>233</v>
      </c>
      <c r="E4" t="s">
        <v>234</v>
      </c>
      <c r="F4" t="s">
        <v>235</v>
      </c>
    </row>
    <row r="5" spans="1:6" x14ac:dyDescent="0.3">
      <c r="A5" t="s">
        <v>236</v>
      </c>
      <c r="B5" t="s">
        <v>237</v>
      </c>
      <c r="C5" t="s">
        <v>238</v>
      </c>
      <c r="D5" t="s">
        <v>239</v>
      </c>
      <c r="E5" t="s">
        <v>240</v>
      </c>
      <c r="F5" t="s">
        <v>241</v>
      </c>
    </row>
    <row r="6" spans="1:6" x14ac:dyDescent="0.3">
      <c r="A6" t="s">
        <v>242</v>
      </c>
      <c r="B6" t="s">
        <v>243</v>
      </c>
      <c r="C6" t="s">
        <v>244</v>
      </c>
      <c r="D6" t="s">
        <v>245</v>
      </c>
      <c r="E6" t="s">
        <v>246</v>
      </c>
      <c r="F6" t="s">
        <v>247</v>
      </c>
    </row>
    <row r="7" spans="1:6" x14ac:dyDescent="0.3">
      <c r="A7" t="s">
        <v>248</v>
      </c>
      <c r="B7" t="s">
        <v>249</v>
      </c>
      <c r="C7" t="s">
        <v>250</v>
      </c>
      <c r="D7" t="s">
        <v>251</v>
      </c>
      <c r="E7" t="s">
        <v>252</v>
      </c>
      <c r="F7" t="s">
        <v>253</v>
      </c>
    </row>
    <row r="8" spans="1:6" x14ac:dyDescent="0.3">
      <c r="A8" t="s">
        <v>254</v>
      </c>
      <c r="B8" t="s">
        <v>255</v>
      </c>
      <c r="C8" t="s">
        <v>256</v>
      </c>
      <c r="D8" t="s">
        <v>257</v>
      </c>
      <c r="E8" t="s">
        <v>258</v>
      </c>
      <c r="F8" t="s">
        <v>259</v>
      </c>
    </row>
    <row r="9" spans="1:6" x14ac:dyDescent="0.3">
      <c r="A9" t="s">
        <v>260</v>
      </c>
      <c r="B9" t="s">
        <v>261</v>
      </c>
      <c r="C9" t="s">
        <v>262</v>
      </c>
      <c r="D9" t="s">
        <v>263</v>
      </c>
      <c r="E9" t="s">
        <v>264</v>
      </c>
      <c r="F9" t="s">
        <v>265</v>
      </c>
    </row>
    <row r="10" spans="1:6" x14ac:dyDescent="0.3">
      <c r="A10" t="s">
        <v>266</v>
      </c>
      <c r="B10" t="s">
        <v>267</v>
      </c>
      <c r="C10" t="s">
        <v>268</v>
      </c>
      <c r="D10" t="s">
        <v>269</v>
      </c>
      <c r="E10" t="s">
        <v>270</v>
      </c>
      <c r="F10" t="s">
        <v>271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4"/>
  <sheetViews>
    <sheetView workbookViewId="0">
      <selection sqref="A1:G1"/>
    </sheetView>
  </sheetViews>
  <sheetFormatPr defaultRowHeight="16.5" x14ac:dyDescent="0.3"/>
  <cols>
    <col min="2" max="2" width="12.625" customWidth="1"/>
    <col min="4" max="4" width="12.375" customWidth="1"/>
    <col min="5" max="5" width="9.125" customWidth="1"/>
    <col min="6" max="6" width="10.375" customWidth="1"/>
    <col min="7" max="7" width="12.375" customWidth="1"/>
  </cols>
  <sheetData>
    <row r="1" spans="1:7" ht="20.25" x14ac:dyDescent="0.3">
      <c r="A1" s="41" t="s">
        <v>1</v>
      </c>
      <c r="B1" s="41"/>
      <c r="C1" s="41"/>
      <c r="D1" s="41"/>
      <c r="E1" s="41"/>
      <c r="F1" s="41"/>
      <c r="G1" s="41"/>
    </row>
    <row r="3" spans="1:7" x14ac:dyDescent="0.3">
      <c r="A3" s="19" t="s">
        <v>2</v>
      </c>
      <c r="B3" s="19" t="s">
        <v>3</v>
      </c>
      <c r="C3" s="19" t="s">
        <v>4</v>
      </c>
      <c r="D3" s="19" t="s">
        <v>5</v>
      </c>
      <c r="E3" s="19" t="s">
        <v>6</v>
      </c>
      <c r="F3" s="19" t="s">
        <v>7</v>
      </c>
      <c r="G3" s="19" t="s">
        <v>8</v>
      </c>
    </row>
    <row r="4" spans="1:7" x14ac:dyDescent="0.3">
      <c r="A4" s="4" t="s">
        <v>9</v>
      </c>
      <c r="B4" s="20">
        <v>45323</v>
      </c>
      <c r="C4" s="4" t="s">
        <v>21</v>
      </c>
      <c r="D4" s="21">
        <v>30000</v>
      </c>
      <c r="E4" s="4">
        <v>250</v>
      </c>
      <c r="F4" s="21">
        <v>3900</v>
      </c>
      <c r="G4" s="21">
        <v>6525000</v>
      </c>
    </row>
    <row r="5" spans="1:7" x14ac:dyDescent="0.3">
      <c r="A5" s="4" t="s">
        <v>10</v>
      </c>
      <c r="B5" s="20">
        <v>45327</v>
      </c>
      <c r="C5" s="4" t="s">
        <v>22</v>
      </c>
      <c r="D5" s="21">
        <v>28000</v>
      </c>
      <c r="E5" s="4">
        <v>200</v>
      </c>
      <c r="F5" s="21">
        <v>3640</v>
      </c>
      <c r="G5" s="21">
        <v>4872000</v>
      </c>
    </row>
    <row r="6" spans="1:7" x14ac:dyDescent="0.3">
      <c r="A6" s="4" t="s">
        <v>11</v>
      </c>
      <c r="B6" s="20">
        <v>45327</v>
      </c>
      <c r="C6" s="4" t="s">
        <v>21</v>
      </c>
      <c r="D6" s="21">
        <v>18000</v>
      </c>
      <c r="E6" s="4">
        <v>300</v>
      </c>
      <c r="F6" s="21">
        <v>2340</v>
      </c>
      <c r="G6" s="21">
        <v>4698000</v>
      </c>
    </row>
    <row r="7" spans="1:7" x14ac:dyDescent="0.3">
      <c r="A7" s="4" t="s">
        <v>12</v>
      </c>
      <c r="B7" s="20">
        <v>45333</v>
      </c>
      <c r="C7" s="4" t="s">
        <v>23</v>
      </c>
      <c r="D7" s="21">
        <v>26000</v>
      </c>
      <c r="E7" s="4">
        <v>200</v>
      </c>
      <c r="F7" s="21">
        <v>3380</v>
      </c>
      <c r="G7" s="21">
        <v>4524000</v>
      </c>
    </row>
    <row r="8" spans="1:7" x14ac:dyDescent="0.3">
      <c r="A8" s="4" t="s">
        <v>14</v>
      </c>
      <c r="B8" s="20">
        <v>45355</v>
      </c>
      <c r="C8" s="4" t="s">
        <v>22</v>
      </c>
      <c r="D8" s="21">
        <v>10000</v>
      </c>
      <c r="E8" s="4">
        <v>700</v>
      </c>
      <c r="F8" s="21">
        <v>1300</v>
      </c>
      <c r="G8" s="21">
        <v>6090000</v>
      </c>
    </row>
    <row r="9" spans="1:7" x14ac:dyDescent="0.3">
      <c r="A9" s="4" t="s">
        <v>15</v>
      </c>
      <c r="B9" s="20">
        <v>45362</v>
      </c>
      <c r="C9" s="4" t="s">
        <v>24</v>
      </c>
      <c r="D9" s="21">
        <v>20000</v>
      </c>
      <c r="E9" s="4">
        <v>600</v>
      </c>
      <c r="F9" s="21">
        <v>2600</v>
      </c>
      <c r="G9" s="21">
        <v>10440000</v>
      </c>
    </row>
    <row r="10" spans="1:7" x14ac:dyDescent="0.3">
      <c r="A10" s="4" t="s">
        <v>16</v>
      </c>
      <c r="B10" s="20">
        <v>45371</v>
      </c>
      <c r="C10" s="4" t="s">
        <v>25</v>
      </c>
      <c r="D10" s="21">
        <v>15000</v>
      </c>
      <c r="E10" s="4">
        <v>500</v>
      </c>
      <c r="F10" s="21">
        <v>1950</v>
      </c>
      <c r="G10" s="21">
        <v>6525000</v>
      </c>
    </row>
    <row r="11" spans="1:7" x14ac:dyDescent="0.3">
      <c r="A11" s="4" t="s">
        <v>17</v>
      </c>
      <c r="B11" s="20">
        <v>45390</v>
      </c>
      <c r="C11" s="4" t="s">
        <v>26</v>
      </c>
      <c r="D11" s="21">
        <v>16000</v>
      </c>
      <c r="E11" s="4">
        <v>300</v>
      </c>
      <c r="F11" s="21">
        <v>2080</v>
      </c>
      <c r="G11" s="21">
        <v>4176000</v>
      </c>
    </row>
    <row r="12" spans="1:7" x14ac:dyDescent="0.3">
      <c r="A12" s="4" t="s">
        <v>18</v>
      </c>
      <c r="B12" s="20">
        <v>45392</v>
      </c>
      <c r="C12" s="4" t="s">
        <v>24</v>
      </c>
      <c r="D12" s="21">
        <v>15000</v>
      </c>
      <c r="E12" s="4">
        <v>400</v>
      </c>
      <c r="F12" s="21">
        <v>1950</v>
      </c>
      <c r="G12" s="21">
        <v>5220000</v>
      </c>
    </row>
    <row r="13" spans="1:7" x14ac:dyDescent="0.3">
      <c r="A13" s="4" t="s">
        <v>19</v>
      </c>
      <c r="B13" s="20">
        <v>45392</v>
      </c>
      <c r="C13" s="4" t="s">
        <v>26</v>
      </c>
      <c r="D13" s="21">
        <v>20000</v>
      </c>
      <c r="E13" s="4">
        <v>350</v>
      </c>
      <c r="F13" s="21">
        <v>2600</v>
      </c>
      <c r="G13" s="21">
        <v>6090000</v>
      </c>
    </row>
    <row r="14" spans="1:7" x14ac:dyDescent="0.3">
      <c r="A14" s="42" t="s">
        <v>20</v>
      </c>
      <c r="B14" s="42"/>
      <c r="C14" s="42"/>
      <c r="D14" s="21">
        <v>198000</v>
      </c>
      <c r="E14" s="4">
        <v>3800</v>
      </c>
      <c r="F14" s="21">
        <v>25740</v>
      </c>
      <c r="G14" s="21">
        <v>59160000</v>
      </c>
    </row>
  </sheetData>
  <mergeCells count="2">
    <mergeCell ref="A1:G1"/>
    <mergeCell ref="A14:C14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14"/>
  <sheetViews>
    <sheetView workbookViewId="0"/>
  </sheetViews>
  <sheetFormatPr defaultRowHeight="16.5" x14ac:dyDescent="0.3"/>
  <cols>
    <col min="1" max="1" width="2.5" customWidth="1"/>
    <col min="2" max="2" width="10.5" bestFit="1" customWidth="1"/>
    <col min="3" max="3" width="7.5" bestFit="1" customWidth="1"/>
    <col min="4" max="4" width="8.875" bestFit="1" customWidth="1"/>
    <col min="5" max="6" width="8.75" bestFit="1" customWidth="1"/>
    <col min="7" max="7" width="8.875" bestFit="1" customWidth="1"/>
    <col min="8" max="8" width="8.5" bestFit="1" customWidth="1"/>
    <col min="9" max="10" width="7.5" bestFit="1" customWidth="1"/>
  </cols>
  <sheetData>
    <row r="2" spans="2:10" x14ac:dyDescent="0.3">
      <c r="B2" t="s">
        <v>13</v>
      </c>
    </row>
    <row r="4" spans="2:10" x14ac:dyDescent="0.3">
      <c r="B4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</row>
    <row r="5" spans="2:10" x14ac:dyDescent="0.3">
      <c r="B5">
        <v>202305123</v>
      </c>
      <c r="C5" t="s">
        <v>281</v>
      </c>
      <c r="D5">
        <v>26</v>
      </c>
      <c r="E5">
        <v>29</v>
      </c>
      <c r="F5">
        <v>28</v>
      </c>
      <c r="G5">
        <v>27</v>
      </c>
      <c r="H5">
        <v>26</v>
      </c>
      <c r="I5">
        <v>136</v>
      </c>
      <c r="J5">
        <v>27.2</v>
      </c>
    </row>
    <row r="6" spans="2:10" x14ac:dyDescent="0.3">
      <c r="B6">
        <v>202305130</v>
      </c>
      <c r="C6" t="s">
        <v>282</v>
      </c>
      <c r="D6">
        <v>29</v>
      </c>
      <c r="E6">
        <v>27</v>
      </c>
      <c r="F6">
        <v>28</v>
      </c>
      <c r="G6">
        <v>30</v>
      </c>
      <c r="H6">
        <v>28</v>
      </c>
      <c r="I6">
        <v>142</v>
      </c>
      <c r="J6">
        <v>28.4</v>
      </c>
    </row>
    <row r="7" spans="2:10" x14ac:dyDescent="0.3">
      <c r="B7">
        <v>202305103</v>
      </c>
      <c r="C7" t="s">
        <v>283</v>
      </c>
      <c r="D7">
        <v>26</v>
      </c>
      <c r="E7">
        <v>30</v>
      </c>
      <c r="F7">
        <v>24</v>
      </c>
      <c r="G7">
        <v>28</v>
      </c>
      <c r="H7">
        <v>30</v>
      </c>
      <c r="I7">
        <v>138</v>
      </c>
      <c r="J7">
        <v>27.6</v>
      </c>
    </row>
    <row r="8" spans="2:10" x14ac:dyDescent="0.3">
      <c r="B8">
        <v>202305113</v>
      </c>
      <c r="C8" t="s">
        <v>284</v>
      </c>
      <c r="D8">
        <v>24</v>
      </c>
      <c r="E8">
        <v>28</v>
      </c>
      <c r="F8">
        <v>26</v>
      </c>
      <c r="G8">
        <v>30</v>
      </c>
      <c r="H8">
        <v>30</v>
      </c>
      <c r="I8">
        <v>138</v>
      </c>
      <c r="J8">
        <v>27.6</v>
      </c>
    </row>
    <row r="9" spans="2:10" x14ac:dyDescent="0.3">
      <c r="B9">
        <v>202305105</v>
      </c>
      <c r="C9" t="s">
        <v>285</v>
      </c>
      <c r="D9">
        <v>25</v>
      </c>
      <c r="E9">
        <v>25</v>
      </c>
      <c r="F9">
        <v>24</v>
      </c>
      <c r="G9">
        <v>29</v>
      </c>
      <c r="H9">
        <v>28</v>
      </c>
      <c r="I9">
        <v>131</v>
      </c>
      <c r="J9">
        <v>26.2</v>
      </c>
    </row>
    <row r="10" spans="2:10" x14ac:dyDescent="0.3">
      <c r="B10">
        <v>202305118</v>
      </c>
      <c r="C10" t="s">
        <v>286</v>
      </c>
      <c r="D10">
        <v>26</v>
      </c>
      <c r="E10">
        <v>28</v>
      </c>
      <c r="F10">
        <v>25</v>
      </c>
      <c r="G10">
        <v>28</v>
      </c>
      <c r="H10">
        <v>30</v>
      </c>
      <c r="I10">
        <v>137</v>
      </c>
      <c r="J10">
        <v>27.4</v>
      </c>
    </row>
    <row r="11" spans="2:10" x14ac:dyDescent="0.3">
      <c r="B11">
        <v>202305124</v>
      </c>
      <c r="C11" t="s">
        <v>287</v>
      </c>
      <c r="D11">
        <v>29</v>
      </c>
      <c r="E11">
        <v>28</v>
      </c>
      <c r="F11">
        <v>28</v>
      </c>
      <c r="G11">
        <v>27</v>
      </c>
      <c r="H11">
        <v>29</v>
      </c>
      <c r="I11">
        <v>141</v>
      </c>
      <c r="J11">
        <v>28.2</v>
      </c>
    </row>
    <row r="12" spans="2:10" x14ac:dyDescent="0.3">
      <c r="B12">
        <v>202305019</v>
      </c>
      <c r="C12" t="s">
        <v>288</v>
      </c>
      <c r="D12">
        <v>29</v>
      </c>
      <c r="E12">
        <v>27</v>
      </c>
      <c r="F12">
        <v>29</v>
      </c>
      <c r="G12">
        <v>28</v>
      </c>
      <c r="H12">
        <v>28</v>
      </c>
      <c r="I12">
        <v>141</v>
      </c>
      <c r="J12">
        <v>28.2</v>
      </c>
    </row>
    <row r="13" spans="2:10" x14ac:dyDescent="0.3">
      <c r="B13">
        <v>202305115</v>
      </c>
      <c r="C13" t="s">
        <v>289</v>
      </c>
      <c r="D13">
        <v>27</v>
      </c>
      <c r="E13">
        <v>28</v>
      </c>
      <c r="F13">
        <v>29</v>
      </c>
      <c r="G13">
        <v>27</v>
      </c>
      <c r="H13">
        <v>28</v>
      </c>
      <c r="I13">
        <v>139</v>
      </c>
      <c r="J13">
        <v>27.8</v>
      </c>
    </row>
    <row r="14" spans="2:10" x14ac:dyDescent="0.3">
      <c r="B14">
        <v>202305135</v>
      </c>
      <c r="C14" t="s">
        <v>290</v>
      </c>
      <c r="D14">
        <v>26</v>
      </c>
      <c r="E14">
        <v>25</v>
      </c>
      <c r="F14">
        <v>28</v>
      </c>
      <c r="G14">
        <v>30</v>
      </c>
      <c r="H14">
        <v>24</v>
      </c>
      <c r="I14">
        <v>133</v>
      </c>
      <c r="J14">
        <v>26.6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6"/>
  <sheetViews>
    <sheetView workbookViewId="0"/>
  </sheetViews>
  <sheetFormatPr defaultRowHeight="16.5" x14ac:dyDescent="0.3"/>
  <cols>
    <col min="4" max="4" width="15.875" customWidth="1"/>
    <col min="5" max="5" width="17.125" customWidth="1"/>
    <col min="6" max="6" width="8.625" customWidth="1"/>
    <col min="10" max="10" width="10.875" customWidth="1"/>
    <col min="12" max="12" width="11.875" customWidth="1"/>
  </cols>
  <sheetData>
    <row r="1" spans="1:12" x14ac:dyDescent="0.3">
      <c r="A1" s="13" t="s">
        <v>221</v>
      </c>
      <c r="B1" s="1" t="s">
        <v>32</v>
      </c>
      <c r="C1" s="1"/>
      <c r="G1" s="13" t="s">
        <v>222</v>
      </c>
      <c r="H1" s="1" t="s">
        <v>85</v>
      </c>
    </row>
    <row r="2" spans="1:12" x14ac:dyDescent="0.3">
      <c r="A2" s="2" t="s">
        <v>27</v>
      </c>
      <c r="B2" s="2" t="s">
        <v>28</v>
      </c>
      <c r="C2" s="2" t="s">
        <v>29</v>
      </c>
      <c r="D2" s="2" t="s">
        <v>30</v>
      </c>
      <c r="E2" s="3" t="s">
        <v>31</v>
      </c>
      <c r="G2" s="2" t="s">
        <v>28</v>
      </c>
      <c r="H2" s="2" t="s">
        <v>29</v>
      </c>
      <c r="I2" s="2" t="s">
        <v>86</v>
      </c>
      <c r="J2" s="2" t="s">
        <v>87</v>
      </c>
      <c r="K2" s="2" t="s">
        <v>88</v>
      </c>
      <c r="L2" s="3" t="s">
        <v>89</v>
      </c>
    </row>
    <row r="3" spans="1:12" x14ac:dyDescent="0.3">
      <c r="A3" s="2" t="s">
        <v>33</v>
      </c>
      <c r="B3" s="2" t="s">
        <v>36</v>
      </c>
      <c r="C3" s="2" t="s">
        <v>43</v>
      </c>
      <c r="D3" s="2" t="s">
        <v>45</v>
      </c>
      <c r="E3" s="22">
        <f>DATE(1900+MID(D3,1,2),MID(D3,3,2),MID(D3,5,2))</f>
        <v>32227</v>
      </c>
      <c r="G3" s="2" t="s">
        <v>90</v>
      </c>
      <c r="H3" s="2" t="s">
        <v>44</v>
      </c>
      <c r="I3" s="2">
        <v>94</v>
      </c>
      <c r="J3" s="2">
        <v>88</v>
      </c>
      <c r="K3" s="2">
        <v>90</v>
      </c>
      <c r="L3" s="2" t="str">
        <f>IF(AND(I3&gt;=90,OR(J3&gt;=80,K3&gt;=80)),"우수","")</f>
        <v>우수</v>
      </c>
    </row>
    <row r="4" spans="1:12" x14ac:dyDescent="0.3">
      <c r="A4" s="2" t="s">
        <v>34</v>
      </c>
      <c r="B4" s="2" t="s">
        <v>37</v>
      </c>
      <c r="C4" s="2" t="s">
        <v>43</v>
      </c>
      <c r="D4" s="2" t="s">
        <v>46</v>
      </c>
      <c r="E4" s="22">
        <f t="shared" ref="E4:E9" si="0">DATE(1900+MID(D4,1,2),MID(D4,3,2),MID(D4,5,2))</f>
        <v>32081</v>
      </c>
      <c r="G4" s="2" t="s">
        <v>91</v>
      </c>
      <c r="H4" s="2" t="s">
        <v>44</v>
      </c>
      <c r="I4" s="2">
        <v>68</v>
      </c>
      <c r="J4" s="2">
        <v>84</v>
      </c>
      <c r="K4" s="2">
        <v>75</v>
      </c>
      <c r="L4" s="2" t="str">
        <f t="shared" ref="L4:L9" si="1">IF(AND(I4&gt;=90,OR(J4&gt;=80,K4&gt;=80)),"우수","")</f>
        <v/>
      </c>
    </row>
    <row r="5" spans="1:12" x14ac:dyDescent="0.3">
      <c r="A5" s="2" t="s">
        <v>34</v>
      </c>
      <c r="B5" s="2" t="s">
        <v>38</v>
      </c>
      <c r="C5" s="2" t="s">
        <v>44</v>
      </c>
      <c r="D5" s="2" t="s">
        <v>47</v>
      </c>
      <c r="E5" s="22">
        <f t="shared" si="0"/>
        <v>31180</v>
      </c>
      <c r="G5" s="2" t="s">
        <v>92</v>
      </c>
      <c r="H5" s="2" t="s">
        <v>44</v>
      </c>
      <c r="I5" s="2">
        <v>92</v>
      </c>
      <c r="J5" s="2">
        <v>78</v>
      </c>
      <c r="K5" s="2">
        <v>77</v>
      </c>
      <c r="L5" s="2" t="str">
        <f t="shared" si="1"/>
        <v/>
      </c>
    </row>
    <row r="6" spans="1:12" x14ac:dyDescent="0.3">
      <c r="A6" s="2" t="s">
        <v>35</v>
      </c>
      <c r="B6" s="2" t="s">
        <v>39</v>
      </c>
      <c r="C6" s="2" t="s">
        <v>44</v>
      </c>
      <c r="D6" s="2" t="s">
        <v>48</v>
      </c>
      <c r="E6" s="22">
        <f t="shared" si="0"/>
        <v>31727</v>
      </c>
      <c r="G6" s="2" t="s">
        <v>93</v>
      </c>
      <c r="H6" s="2" t="s">
        <v>43</v>
      </c>
      <c r="I6" s="2">
        <v>91</v>
      </c>
      <c r="J6" s="2">
        <v>90</v>
      </c>
      <c r="K6" s="2">
        <v>91</v>
      </c>
      <c r="L6" s="2" t="str">
        <f t="shared" si="1"/>
        <v>우수</v>
      </c>
    </row>
    <row r="7" spans="1:12" x14ac:dyDescent="0.3">
      <c r="A7" s="2" t="s">
        <v>33</v>
      </c>
      <c r="B7" s="2" t="s">
        <v>40</v>
      </c>
      <c r="C7" s="2" t="s">
        <v>44</v>
      </c>
      <c r="D7" s="2" t="s">
        <v>49</v>
      </c>
      <c r="E7" s="22">
        <f t="shared" si="0"/>
        <v>30717</v>
      </c>
      <c r="G7" s="2" t="s">
        <v>94</v>
      </c>
      <c r="H7" s="2" t="s">
        <v>43</v>
      </c>
      <c r="I7" s="2">
        <v>94</v>
      </c>
      <c r="J7" s="2">
        <v>98</v>
      </c>
      <c r="K7" s="2">
        <v>89</v>
      </c>
      <c r="L7" s="2" t="str">
        <f t="shared" si="1"/>
        <v>우수</v>
      </c>
    </row>
    <row r="8" spans="1:12" x14ac:dyDescent="0.3">
      <c r="A8" s="2" t="s">
        <v>35</v>
      </c>
      <c r="B8" s="2" t="s">
        <v>41</v>
      </c>
      <c r="C8" s="2" t="s">
        <v>44</v>
      </c>
      <c r="D8" s="2" t="s">
        <v>50</v>
      </c>
      <c r="E8" s="22">
        <f t="shared" si="0"/>
        <v>32496</v>
      </c>
      <c r="G8" s="2" t="s">
        <v>95</v>
      </c>
      <c r="H8" s="2" t="s">
        <v>43</v>
      </c>
      <c r="I8" s="2">
        <v>88</v>
      </c>
      <c r="J8" s="2">
        <v>88</v>
      </c>
      <c r="K8" s="2">
        <v>87</v>
      </c>
      <c r="L8" s="2" t="str">
        <f t="shared" si="1"/>
        <v/>
      </c>
    </row>
    <row r="9" spans="1:12" x14ac:dyDescent="0.3">
      <c r="A9" s="2" t="s">
        <v>34</v>
      </c>
      <c r="B9" s="2" t="s">
        <v>42</v>
      </c>
      <c r="C9" s="2" t="s">
        <v>43</v>
      </c>
      <c r="D9" s="2" t="s">
        <v>51</v>
      </c>
      <c r="E9" s="22">
        <f t="shared" si="0"/>
        <v>30568</v>
      </c>
      <c r="G9" s="2" t="s">
        <v>96</v>
      </c>
      <c r="H9" s="2" t="s">
        <v>44</v>
      </c>
      <c r="I9" s="2">
        <v>90</v>
      </c>
      <c r="J9" s="2">
        <v>57</v>
      </c>
      <c r="K9" s="2">
        <v>79</v>
      </c>
      <c r="L9" s="2" t="str">
        <f t="shared" si="1"/>
        <v/>
      </c>
    </row>
    <row r="11" spans="1:12" x14ac:dyDescent="0.3">
      <c r="A11" s="13" t="s">
        <v>220</v>
      </c>
      <c r="B11" s="1" t="s">
        <v>218</v>
      </c>
      <c r="G11" s="14" t="s">
        <v>223</v>
      </c>
      <c r="H11" s="6" t="s">
        <v>97</v>
      </c>
    </row>
    <row r="12" spans="1:12" x14ac:dyDescent="0.3">
      <c r="A12" s="2" t="s">
        <v>52</v>
      </c>
      <c r="B12" s="2" t="s">
        <v>53</v>
      </c>
      <c r="C12" s="2" t="s">
        <v>54</v>
      </c>
      <c r="D12" s="3" t="s">
        <v>55</v>
      </c>
      <c r="G12" s="2" t="s">
        <v>98</v>
      </c>
      <c r="H12" s="2" t="s">
        <v>99</v>
      </c>
      <c r="I12" s="2" t="s">
        <v>100</v>
      </c>
      <c r="J12" s="2" t="s">
        <v>101</v>
      </c>
      <c r="K12" s="2" t="s">
        <v>102</v>
      </c>
      <c r="L12" s="2" t="s">
        <v>103</v>
      </c>
    </row>
    <row r="13" spans="1:12" x14ac:dyDescent="0.3">
      <c r="A13" s="2">
        <v>120368</v>
      </c>
      <c r="B13" s="2" t="s">
        <v>56</v>
      </c>
      <c r="C13" s="2">
        <v>189</v>
      </c>
      <c r="D13" s="2" t="str">
        <f>IFERROR(HLOOKUP(C13,$B$24:$E$25,2,TRUE),"불합격")</f>
        <v>불합격</v>
      </c>
      <c r="G13" s="2" t="s">
        <v>104</v>
      </c>
      <c r="H13" s="2" t="s">
        <v>109</v>
      </c>
      <c r="I13" s="2" t="s">
        <v>112</v>
      </c>
      <c r="J13" s="7">
        <v>750000</v>
      </c>
      <c r="K13" s="2">
        <v>68</v>
      </c>
      <c r="L13" s="7">
        <v>51000000</v>
      </c>
    </row>
    <row r="14" spans="1:12" x14ac:dyDescent="0.3">
      <c r="A14" s="2">
        <v>120625</v>
      </c>
      <c r="B14" s="2" t="s">
        <v>57</v>
      </c>
      <c r="C14" s="2">
        <v>538</v>
      </c>
      <c r="D14" s="2" t="str">
        <f t="shared" ref="D14:D21" si="2">IFERROR(HLOOKUP(C14,$B$24:$E$25,2,TRUE),"불합격")</f>
        <v>A</v>
      </c>
      <c r="G14" s="2" t="s">
        <v>105</v>
      </c>
      <c r="H14" s="2" t="s">
        <v>111</v>
      </c>
      <c r="I14" s="2" t="s">
        <v>113</v>
      </c>
      <c r="J14" s="7">
        <v>1200000</v>
      </c>
      <c r="K14" s="2">
        <v>48</v>
      </c>
      <c r="L14" s="7">
        <v>57600000</v>
      </c>
    </row>
    <row r="15" spans="1:12" x14ac:dyDescent="0.3">
      <c r="A15" s="2">
        <v>120615</v>
      </c>
      <c r="B15" s="2" t="s">
        <v>58</v>
      </c>
      <c r="C15" s="2">
        <v>425</v>
      </c>
      <c r="D15" s="2" t="str">
        <f t="shared" si="2"/>
        <v>B</v>
      </c>
      <c r="G15" s="2" t="s">
        <v>106</v>
      </c>
      <c r="H15" s="2" t="s">
        <v>110</v>
      </c>
      <c r="I15" s="2" t="s">
        <v>114</v>
      </c>
      <c r="J15" s="7">
        <v>1000000</v>
      </c>
      <c r="K15" s="2">
        <v>68</v>
      </c>
      <c r="L15" s="7">
        <v>68000000</v>
      </c>
    </row>
    <row r="16" spans="1:12" x14ac:dyDescent="0.3">
      <c r="A16" s="2">
        <v>120248</v>
      </c>
      <c r="B16" s="2" t="s">
        <v>59</v>
      </c>
      <c r="C16" s="2">
        <v>249</v>
      </c>
      <c r="D16" s="2" t="str">
        <f t="shared" si="2"/>
        <v>D</v>
      </c>
      <c r="G16" s="2" t="s">
        <v>107</v>
      </c>
      <c r="H16" s="2" t="s">
        <v>109</v>
      </c>
      <c r="I16" s="2" t="s">
        <v>112</v>
      </c>
      <c r="J16" s="7">
        <v>750000</v>
      </c>
      <c r="K16" s="2">
        <v>72</v>
      </c>
      <c r="L16" s="7">
        <v>54000000</v>
      </c>
    </row>
    <row r="17" spans="1:12" x14ac:dyDescent="0.3">
      <c r="A17" s="2">
        <v>120357</v>
      </c>
      <c r="B17" s="2" t="s">
        <v>60</v>
      </c>
      <c r="C17" s="2">
        <v>485</v>
      </c>
      <c r="D17" s="2" t="str">
        <f t="shared" si="2"/>
        <v>B</v>
      </c>
      <c r="G17" s="2" t="s">
        <v>104</v>
      </c>
      <c r="H17" s="2" t="s">
        <v>111</v>
      </c>
      <c r="I17" s="2" t="s">
        <v>113</v>
      </c>
      <c r="J17" s="7">
        <v>1200000</v>
      </c>
      <c r="K17" s="2">
        <v>81</v>
      </c>
      <c r="L17" s="7">
        <v>97200000</v>
      </c>
    </row>
    <row r="18" spans="1:12" x14ac:dyDescent="0.3">
      <c r="A18" s="2">
        <v>120316</v>
      </c>
      <c r="B18" s="2" t="s">
        <v>61</v>
      </c>
      <c r="C18" s="2">
        <v>359</v>
      </c>
      <c r="D18" s="2" t="str">
        <f t="shared" si="2"/>
        <v>C</v>
      </c>
      <c r="G18" s="2" t="s">
        <v>106</v>
      </c>
      <c r="H18" s="2" t="s">
        <v>109</v>
      </c>
      <c r="I18" s="2" t="s">
        <v>112</v>
      </c>
      <c r="J18" s="7">
        <v>750000</v>
      </c>
      <c r="K18" s="2">
        <v>75</v>
      </c>
      <c r="L18" s="7">
        <v>56250000</v>
      </c>
    </row>
    <row r="19" spans="1:12" x14ac:dyDescent="0.3">
      <c r="A19" s="2">
        <v>120395</v>
      </c>
      <c r="B19" s="2" t="s">
        <v>62</v>
      </c>
      <c r="C19" s="2">
        <v>199</v>
      </c>
      <c r="D19" s="2" t="str">
        <f t="shared" si="2"/>
        <v>불합격</v>
      </c>
      <c r="G19" s="2" t="s">
        <v>107</v>
      </c>
      <c r="H19" s="2" t="s">
        <v>111</v>
      </c>
      <c r="I19" s="2" t="s">
        <v>113</v>
      </c>
      <c r="J19" s="7">
        <v>1200000</v>
      </c>
      <c r="K19" s="2">
        <v>77</v>
      </c>
      <c r="L19" s="7">
        <v>92400000</v>
      </c>
    </row>
    <row r="20" spans="1:12" x14ac:dyDescent="0.3">
      <c r="A20" s="2">
        <v>120574</v>
      </c>
      <c r="B20" s="2" t="s">
        <v>63</v>
      </c>
      <c r="C20" s="2">
        <v>352</v>
      </c>
      <c r="D20" s="2" t="str">
        <f t="shared" si="2"/>
        <v>C</v>
      </c>
      <c r="G20" s="2" t="s">
        <v>106</v>
      </c>
      <c r="H20" s="2" t="s">
        <v>111</v>
      </c>
      <c r="I20" s="2" t="s">
        <v>113</v>
      </c>
      <c r="J20" s="7">
        <v>1200000</v>
      </c>
      <c r="K20" s="2">
        <v>57</v>
      </c>
      <c r="L20" s="7">
        <v>68400000</v>
      </c>
    </row>
    <row r="21" spans="1:12" x14ac:dyDescent="0.3">
      <c r="A21" s="2">
        <v>120458</v>
      </c>
      <c r="B21" s="2" t="s">
        <v>64</v>
      </c>
      <c r="C21" s="2">
        <v>586</v>
      </c>
      <c r="D21" s="2" t="str">
        <f t="shared" si="2"/>
        <v>A</v>
      </c>
      <c r="G21" s="2" t="s">
        <v>104</v>
      </c>
      <c r="H21" s="2" t="s">
        <v>110</v>
      </c>
      <c r="I21" s="2" t="s">
        <v>114</v>
      </c>
      <c r="J21" s="7">
        <v>1000000</v>
      </c>
      <c r="K21" s="2">
        <v>48</v>
      </c>
      <c r="L21" s="7">
        <v>48000000</v>
      </c>
    </row>
    <row r="22" spans="1:12" x14ac:dyDescent="0.3">
      <c r="G22" s="2" t="s">
        <v>107</v>
      </c>
      <c r="H22" s="2" t="s">
        <v>110</v>
      </c>
      <c r="I22" s="2" t="s">
        <v>114</v>
      </c>
      <c r="J22" s="7">
        <v>1000000</v>
      </c>
      <c r="K22" s="2">
        <v>67</v>
      </c>
      <c r="L22" s="7">
        <v>67000000</v>
      </c>
    </row>
    <row r="23" spans="1:12" x14ac:dyDescent="0.3">
      <c r="A23" t="s">
        <v>219</v>
      </c>
      <c r="G23" s="2" t="s">
        <v>105</v>
      </c>
      <c r="H23" s="2" t="s">
        <v>109</v>
      </c>
      <c r="I23" s="2" t="s">
        <v>112</v>
      </c>
      <c r="J23" s="7">
        <v>750000</v>
      </c>
      <c r="K23" s="2">
        <v>49</v>
      </c>
      <c r="L23" s="7">
        <v>36750000</v>
      </c>
    </row>
    <row r="24" spans="1:12" x14ac:dyDescent="0.3">
      <c r="A24" s="2" t="s">
        <v>65</v>
      </c>
      <c r="B24" s="2">
        <v>200</v>
      </c>
      <c r="C24" s="2">
        <v>300</v>
      </c>
      <c r="D24" s="2">
        <v>400</v>
      </c>
      <c r="E24" s="2">
        <v>500</v>
      </c>
    </row>
    <row r="25" spans="1:12" x14ac:dyDescent="0.3">
      <c r="A25" s="2" t="s">
        <v>66</v>
      </c>
      <c r="B25" s="2" t="s">
        <v>67</v>
      </c>
      <c r="C25" s="2" t="s">
        <v>68</v>
      </c>
      <c r="D25" s="2" t="s">
        <v>69</v>
      </c>
      <c r="E25" s="2" t="s">
        <v>70</v>
      </c>
      <c r="G25" s="43" t="s">
        <v>108</v>
      </c>
      <c r="H25" s="43"/>
      <c r="I25" s="43"/>
      <c r="J25" s="43"/>
      <c r="K25" s="43"/>
      <c r="L25" s="2">
        <f>COUNTIFS(I13:I23,"컴퓨터",K13:K23,"&gt;=70")</f>
        <v>2</v>
      </c>
    </row>
    <row r="27" spans="1:12" x14ac:dyDescent="0.3">
      <c r="A27" s="13" t="s">
        <v>224</v>
      </c>
      <c r="B27" s="1" t="s">
        <v>71</v>
      </c>
    </row>
    <row r="28" spans="1:12" x14ac:dyDescent="0.3">
      <c r="A28" s="2" t="s">
        <v>28</v>
      </c>
      <c r="B28" s="2" t="s">
        <v>72</v>
      </c>
      <c r="C28" s="2" t="s">
        <v>73</v>
      </c>
      <c r="D28" s="2" t="s">
        <v>74</v>
      </c>
      <c r="E28" s="2" t="s">
        <v>75</v>
      </c>
      <c r="F28" s="3" t="s">
        <v>76</v>
      </c>
    </row>
    <row r="29" spans="1:12" x14ac:dyDescent="0.3">
      <c r="A29" s="2" t="s">
        <v>77</v>
      </c>
      <c r="B29" s="2">
        <v>752</v>
      </c>
      <c r="C29" s="2">
        <v>768</v>
      </c>
      <c r="D29" s="2">
        <v>797</v>
      </c>
      <c r="E29" s="5">
        <v>772.3</v>
      </c>
      <c r="F29" s="2" t="str">
        <f>IF(_xlfn.RANK.EQ(E29,$E$29:$E$36,0)&lt;=3,"선발","")</f>
        <v/>
      </c>
    </row>
    <row r="30" spans="1:12" x14ac:dyDescent="0.3">
      <c r="A30" s="2" t="s">
        <v>78</v>
      </c>
      <c r="B30" s="2">
        <v>749</v>
      </c>
      <c r="C30" s="2">
        <v>758</v>
      </c>
      <c r="D30" s="2">
        <v>752</v>
      </c>
      <c r="E30" s="5">
        <v>753</v>
      </c>
      <c r="F30" s="2" t="str">
        <f t="shared" ref="F30:F36" si="3">IF(_xlfn.RANK.EQ(E30,$E$29:$E$36,0)&lt;=3,"선발","")</f>
        <v/>
      </c>
    </row>
    <row r="31" spans="1:12" x14ac:dyDescent="0.3">
      <c r="A31" s="2" t="s">
        <v>79</v>
      </c>
      <c r="B31" s="2">
        <v>762</v>
      </c>
      <c r="C31" s="2">
        <v>755</v>
      </c>
      <c r="D31" s="2">
        <v>745</v>
      </c>
      <c r="E31" s="5">
        <v>754</v>
      </c>
      <c r="F31" s="2" t="str">
        <f t="shared" si="3"/>
        <v/>
      </c>
    </row>
    <row r="32" spans="1:12" x14ac:dyDescent="0.3">
      <c r="A32" s="2" t="s">
        <v>80</v>
      </c>
      <c r="B32" s="2">
        <v>812</v>
      </c>
      <c r="C32" s="2">
        <v>803</v>
      </c>
      <c r="D32" s="2">
        <v>822</v>
      </c>
      <c r="E32" s="5">
        <v>812.3</v>
      </c>
      <c r="F32" s="2" t="str">
        <f t="shared" si="3"/>
        <v>선발</v>
      </c>
    </row>
    <row r="33" spans="1:6" x14ac:dyDescent="0.3">
      <c r="A33" s="2" t="s">
        <v>81</v>
      </c>
      <c r="B33" s="2">
        <v>835</v>
      </c>
      <c r="C33" s="2">
        <v>840</v>
      </c>
      <c r="D33" s="2">
        <v>855</v>
      </c>
      <c r="E33" s="5">
        <v>843.3</v>
      </c>
      <c r="F33" s="2" t="str">
        <f t="shared" si="3"/>
        <v>선발</v>
      </c>
    </row>
    <row r="34" spans="1:6" x14ac:dyDescent="0.3">
      <c r="A34" s="2" t="s">
        <v>82</v>
      </c>
      <c r="B34" s="2">
        <v>795</v>
      </c>
      <c r="C34" s="2">
        <v>810</v>
      </c>
      <c r="D34" s="2">
        <v>812</v>
      </c>
      <c r="E34" s="5">
        <v>805.7</v>
      </c>
      <c r="F34" s="2" t="str">
        <f t="shared" si="3"/>
        <v/>
      </c>
    </row>
    <row r="35" spans="1:6" x14ac:dyDescent="0.3">
      <c r="A35" s="2" t="s">
        <v>83</v>
      </c>
      <c r="B35" s="2">
        <v>838</v>
      </c>
      <c r="C35" s="2">
        <v>824</v>
      </c>
      <c r="D35" s="2">
        <v>818</v>
      </c>
      <c r="E35" s="5">
        <v>826.7</v>
      </c>
      <c r="F35" s="2" t="str">
        <f t="shared" si="3"/>
        <v>선발</v>
      </c>
    </row>
    <row r="36" spans="1:6" x14ac:dyDescent="0.3">
      <c r="A36" s="2" t="s">
        <v>84</v>
      </c>
      <c r="B36" s="2">
        <v>728</v>
      </c>
      <c r="C36" s="2">
        <v>735</v>
      </c>
      <c r="D36" s="2">
        <v>749</v>
      </c>
      <c r="E36" s="5">
        <v>737.3</v>
      </c>
      <c r="F36" s="2" t="str">
        <f t="shared" si="3"/>
        <v/>
      </c>
    </row>
  </sheetData>
  <mergeCells count="1">
    <mergeCell ref="G25:K25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3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28" t="s">
        <v>297</v>
      </c>
      <c r="C2" s="29"/>
      <c r="D2" s="35"/>
      <c r="E2" s="35"/>
      <c r="F2" s="35"/>
    </row>
    <row r="3" spans="2:6" collapsed="1" x14ac:dyDescent="0.3">
      <c r="B3" s="27"/>
      <c r="C3" s="27"/>
      <c r="D3" s="36" t="s">
        <v>299</v>
      </c>
      <c r="E3" s="36" t="s">
        <v>295</v>
      </c>
      <c r="F3" s="36" t="s">
        <v>296</v>
      </c>
    </row>
    <row r="4" spans="2:6" hidden="1" outlineLevel="1" x14ac:dyDescent="0.3">
      <c r="B4" s="31"/>
      <c r="C4" s="31"/>
      <c r="E4" s="38"/>
      <c r="F4" s="38"/>
    </row>
    <row r="5" spans="2:6" x14ac:dyDescent="0.3">
      <c r="B5" s="32" t="s">
        <v>298</v>
      </c>
      <c r="C5" s="33"/>
      <c r="D5" s="30"/>
      <c r="E5" s="30"/>
      <c r="F5" s="30"/>
    </row>
    <row r="6" spans="2:6" outlineLevel="1" x14ac:dyDescent="0.3">
      <c r="B6" s="31"/>
      <c r="C6" s="31" t="s">
        <v>291</v>
      </c>
      <c r="D6" s="24">
        <v>0.5</v>
      </c>
      <c r="E6" s="37">
        <v>0.6</v>
      </c>
      <c r="F6" s="37">
        <v>0.4</v>
      </c>
    </row>
    <row r="7" spans="2:6" x14ac:dyDescent="0.3">
      <c r="B7" s="32" t="s">
        <v>300</v>
      </c>
      <c r="C7" s="33"/>
      <c r="D7" s="30"/>
      <c r="E7" s="30"/>
      <c r="F7" s="30"/>
    </row>
    <row r="8" spans="2:6" outlineLevel="1" x14ac:dyDescent="0.3">
      <c r="B8" s="31"/>
      <c r="C8" s="31" t="s">
        <v>292</v>
      </c>
      <c r="D8" s="25">
        <v>2948000</v>
      </c>
      <c r="E8" s="25">
        <v>2948000</v>
      </c>
      <c r="F8" s="25">
        <v>2948000</v>
      </c>
    </row>
    <row r="9" spans="2:6" outlineLevel="1" x14ac:dyDescent="0.3">
      <c r="B9" s="31"/>
      <c r="C9" s="31" t="s">
        <v>293</v>
      </c>
      <c r="D9" s="25">
        <v>3243000</v>
      </c>
      <c r="E9" s="25">
        <v>3243000</v>
      </c>
      <c r="F9" s="25">
        <v>3243000</v>
      </c>
    </row>
    <row r="10" spans="2:6" ht="17.25" outlineLevel="1" thickBot="1" x14ac:dyDescent="0.35">
      <c r="B10" s="34"/>
      <c r="C10" s="34" t="s">
        <v>294</v>
      </c>
      <c r="D10" s="26">
        <v>3243000</v>
      </c>
      <c r="E10" s="26">
        <v>3243000</v>
      </c>
      <c r="F10" s="26">
        <v>3243000</v>
      </c>
    </row>
    <row r="11" spans="2:6" x14ac:dyDescent="0.3">
      <c r="B11" t="s">
        <v>301</v>
      </c>
    </row>
    <row r="12" spans="2:6" x14ac:dyDescent="0.3">
      <c r="B12" t="s">
        <v>302</v>
      </c>
    </row>
    <row r="13" spans="2:6" x14ac:dyDescent="0.3">
      <c r="B13" t="s">
        <v>303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7"/>
  <sheetViews>
    <sheetView workbookViewId="0">
      <selection sqref="A1:H1"/>
    </sheetView>
  </sheetViews>
  <sheetFormatPr defaultRowHeight="16.5" x14ac:dyDescent="0.3"/>
  <cols>
    <col min="1" max="1" width="11" customWidth="1"/>
    <col min="3" max="3" width="9.25" customWidth="1"/>
    <col min="4" max="4" width="10.875" customWidth="1"/>
    <col min="5" max="5" width="13" bestFit="1" customWidth="1"/>
    <col min="6" max="6" width="11.875" customWidth="1"/>
    <col min="7" max="7" width="10.875" customWidth="1"/>
    <col min="8" max="8" width="10.875" bestFit="1" customWidth="1"/>
  </cols>
  <sheetData>
    <row r="1" spans="1:8" ht="20.25" customHeight="1" x14ac:dyDescent="0.3">
      <c r="A1" s="44" t="s">
        <v>135</v>
      </c>
      <c r="B1" s="44"/>
      <c r="C1" s="44"/>
      <c r="D1" s="44"/>
      <c r="E1" s="44"/>
      <c r="F1" s="44"/>
      <c r="G1" s="44"/>
      <c r="H1" s="44"/>
    </row>
    <row r="2" spans="1:8" ht="20.25" customHeight="1" x14ac:dyDescent="0.3"/>
    <row r="3" spans="1:8" x14ac:dyDescent="0.3">
      <c r="A3" s="2" t="s">
        <v>127</v>
      </c>
      <c r="B3" s="2" t="s">
        <v>128</v>
      </c>
      <c r="C3" s="2" t="s">
        <v>129</v>
      </c>
      <c r="D3" s="2" t="s">
        <v>130</v>
      </c>
      <c r="E3" s="2" t="s">
        <v>131</v>
      </c>
      <c r="F3" s="2" t="s">
        <v>132</v>
      </c>
      <c r="G3" s="2" t="s">
        <v>133</v>
      </c>
      <c r="H3" s="2" t="s">
        <v>134</v>
      </c>
    </row>
    <row r="4" spans="1:8" x14ac:dyDescent="0.3">
      <c r="A4" s="2" t="s">
        <v>136</v>
      </c>
      <c r="B4" s="2" t="s">
        <v>148</v>
      </c>
      <c r="C4" s="17">
        <v>8</v>
      </c>
      <c r="D4" s="7">
        <v>3600000</v>
      </c>
      <c r="E4" s="7">
        <v>432000</v>
      </c>
      <c r="F4" s="7">
        <v>1800000</v>
      </c>
      <c r="G4" s="7">
        <v>525000</v>
      </c>
      <c r="H4" s="7">
        <v>5307000</v>
      </c>
    </row>
    <row r="5" spans="1:8" x14ac:dyDescent="0.3">
      <c r="A5" s="2" t="s">
        <v>137</v>
      </c>
      <c r="B5" s="2" t="s">
        <v>149</v>
      </c>
      <c r="C5" s="17">
        <v>4</v>
      </c>
      <c r="D5" s="7">
        <v>2000000</v>
      </c>
      <c r="E5" s="7">
        <v>240000</v>
      </c>
      <c r="F5" s="7">
        <v>1000000</v>
      </c>
      <c r="G5" s="7">
        <v>292000</v>
      </c>
      <c r="H5" s="7">
        <v>2948000</v>
      </c>
    </row>
    <row r="6" spans="1:8" x14ac:dyDescent="0.3">
      <c r="A6" s="2" t="s">
        <v>138</v>
      </c>
      <c r="B6" s="2" t="s">
        <v>150</v>
      </c>
      <c r="C6" s="17">
        <v>7</v>
      </c>
      <c r="D6" s="7">
        <v>2800000</v>
      </c>
      <c r="E6" s="7">
        <v>336000</v>
      </c>
      <c r="F6" s="7">
        <v>1400000</v>
      </c>
      <c r="G6" s="7">
        <v>408000</v>
      </c>
      <c r="H6" s="7">
        <v>4128000</v>
      </c>
    </row>
    <row r="7" spans="1:8" x14ac:dyDescent="0.3">
      <c r="A7" s="2" t="s">
        <v>139</v>
      </c>
      <c r="B7" s="2" t="s">
        <v>149</v>
      </c>
      <c r="C7" s="17">
        <v>5</v>
      </c>
      <c r="D7" s="7">
        <v>2200000</v>
      </c>
      <c r="E7" s="7">
        <v>264000</v>
      </c>
      <c r="F7" s="7">
        <v>1100000</v>
      </c>
      <c r="G7" s="7">
        <v>321000</v>
      </c>
      <c r="H7" s="7">
        <v>3243000</v>
      </c>
    </row>
    <row r="8" spans="1:8" x14ac:dyDescent="0.3">
      <c r="A8" s="2" t="s">
        <v>140</v>
      </c>
      <c r="B8" s="2" t="s">
        <v>148</v>
      </c>
      <c r="C8" s="17">
        <v>4</v>
      </c>
      <c r="D8" s="7">
        <v>3400000</v>
      </c>
      <c r="E8" s="7">
        <v>408000</v>
      </c>
      <c r="F8" s="7">
        <v>1700000</v>
      </c>
      <c r="G8" s="7">
        <v>496000</v>
      </c>
      <c r="H8" s="7">
        <v>5012000</v>
      </c>
    </row>
    <row r="9" spans="1:8" x14ac:dyDescent="0.3">
      <c r="A9" s="2" t="s">
        <v>141</v>
      </c>
      <c r="B9" s="2" t="s">
        <v>149</v>
      </c>
      <c r="C9" s="17">
        <v>5</v>
      </c>
      <c r="D9" s="7">
        <v>2200000</v>
      </c>
      <c r="E9" s="7">
        <v>264000</v>
      </c>
      <c r="F9" s="7">
        <v>1100000</v>
      </c>
      <c r="G9" s="7">
        <v>321000</v>
      </c>
      <c r="H9" s="7">
        <v>3243000</v>
      </c>
    </row>
    <row r="10" spans="1:8" x14ac:dyDescent="0.3">
      <c r="A10" s="2" t="s">
        <v>142</v>
      </c>
      <c r="B10" s="2" t="s">
        <v>150</v>
      </c>
      <c r="C10" s="17">
        <v>4</v>
      </c>
      <c r="D10" s="7">
        <v>2500000</v>
      </c>
      <c r="E10" s="7">
        <v>300000</v>
      </c>
      <c r="F10" s="7">
        <v>1250000</v>
      </c>
      <c r="G10" s="7">
        <v>365000</v>
      </c>
      <c r="H10" s="7">
        <v>3685000</v>
      </c>
    </row>
    <row r="11" spans="1:8" x14ac:dyDescent="0.3">
      <c r="A11" s="2" t="s">
        <v>143</v>
      </c>
      <c r="B11" s="2" t="s">
        <v>151</v>
      </c>
      <c r="C11" s="17">
        <v>3</v>
      </c>
      <c r="D11" s="7">
        <v>2000000</v>
      </c>
      <c r="E11" s="7">
        <v>240000</v>
      </c>
      <c r="F11" s="7">
        <v>1000000</v>
      </c>
      <c r="G11" s="7">
        <v>292000</v>
      </c>
      <c r="H11" s="7">
        <v>2948000</v>
      </c>
    </row>
    <row r="12" spans="1:8" x14ac:dyDescent="0.3">
      <c r="A12" s="2" t="s">
        <v>144</v>
      </c>
      <c r="B12" s="2" t="s">
        <v>148</v>
      </c>
      <c r="C12" s="17">
        <v>2</v>
      </c>
      <c r="D12" s="7">
        <v>3100000</v>
      </c>
      <c r="E12" s="7">
        <v>372000</v>
      </c>
      <c r="F12" s="7">
        <v>1550000</v>
      </c>
      <c r="G12" s="7">
        <v>452000</v>
      </c>
      <c r="H12" s="7">
        <v>4570000</v>
      </c>
    </row>
    <row r="13" spans="1:8" x14ac:dyDescent="0.3">
      <c r="A13" s="2" t="s">
        <v>145</v>
      </c>
      <c r="B13" s="2" t="s">
        <v>151</v>
      </c>
      <c r="C13" s="17">
        <v>1</v>
      </c>
      <c r="D13" s="7">
        <v>1800000</v>
      </c>
      <c r="E13" s="7">
        <v>216000</v>
      </c>
      <c r="F13" s="7">
        <v>900000</v>
      </c>
      <c r="G13" s="7">
        <v>262000</v>
      </c>
      <c r="H13" s="7">
        <v>2654000</v>
      </c>
    </row>
    <row r="14" spans="1:8" x14ac:dyDescent="0.3">
      <c r="A14" s="2" t="s">
        <v>146</v>
      </c>
      <c r="B14" s="2" t="s">
        <v>150</v>
      </c>
      <c r="C14" s="17">
        <v>4</v>
      </c>
      <c r="D14" s="7">
        <v>2500000</v>
      </c>
      <c r="E14" s="7">
        <v>300000</v>
      </c>
      <c r="F14" s="7">
        <v>1250000</v>
      </c>
      <c r="G14" s="7">
        <v>365000</v>
      </c>
      <c r="H14" s="7">
        <v>3685000</v>
      </c>
    </row>
    <row r="15" spans="1:8" x14ac:dyDescent="0.3">
      <c r="A15" s="2" t="s">
        <v>147</v>
      </c>
      <c r="B15" s="2" t="s">
        <v>151</v>
      </c>
      <c r="C15" s="17">
        <v>3</v>
      </c>
      <c r="D15" s="7">
        <v>2000000</v>
      </c>
      <c r="E15" s="7">
        <v>240000</v>
      </c>
      <c r="F15" s="7">
        <v>1000000</v>
      </c>
      <c r="G15" s="7">
        <v>292000</v>
      </c>
      <c r="H15" s="7">
        <v>2948000</v>
      </c>
    </row>
    <row r="17" spans="1:2" x14ac:dyDescent="0.3">
      <c r="A17" s="16" t="s">
        <v>186</v>
      </c>
      <c r="B17" s="12">
        <v>0.5</v>
      </c>
    </row>
  </sheetData>
  <scenarios current="1" sqref="H5 H7 H9">
    <scenario name="비율증가" locked="1" count="1" user="조준현">
      <inputCells r="B17" val="0.6" numFmtId="9"/>
    </scenario>
    <scenario name="비율인하" locked="1" count="1" user="조준현">
      <inputCells r="B17" val="0.4" numFmtId="9"/>
    </scenario>
  </scenarios>
  <mergeCells count="1">
    <mergeCell ref="A1:H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19"/>
  <sheetViews>
    <sheetView workbookViewId="0">
      <selection sqref="A1:F1"/>
    </sheetView>
  </sheetViews>
  <sheetFormatPr defaultRowHeight="16.5" x14ac:dyDescent="0.3"/>
  <cols>
    <col min="1" max="1" width="11" bestFit="1" customWidth="1"/>
    <col min="2" max="2" width="10.125" customWidth="1"/>
    <col min="3" max="4" width="9.125" customWidth="1"/>
    <col min="5" max="5" width="7.25" customWidth="1"/>
    <col min="6" max="6" width="8.375" customWidth="1"/>
    <col min="7" max="7" width="9" customWidth="1"/>
    <col min="8" max="8" width="11" bestFit="1" customWidth="1"/>
    <col min="9" max="9" width="10.125" customWidth="1"/>
    <col min="10" max="10" width="9.125" customWidth="1"/>
    <col min="11" max="11" width="9" customWidth="1"/>
    <col min="12" max="12" width="7.25" customWidth="1"/>
    <col min="13" max="13" width="8.375" customWidth="1"/>
  </cols>
  <sheetData>
    <row r="1" spans="1:13" ht="17.25" x14ac:dyDescent="0.3">
      <c r="A1" s="45" t="s">
        <v>304</v>
      </c>
      <c r="B1" s="45"/>
      <c r="C1" s="45"/>
      <c r="D1" s="45"/>
      <c r="E1" s="45"/>
      <c r="F1" s="45"/>
      <c r="H1" s="45" t="s">
        <v>307</v>
      </c>
      <c r="I1" s="45"/>
      <c r="J1" s="45"/>
      <c r="K1" s="45"/>
      <c r="L1" s="45"/>
      <c r="M1" s="45"/>
    </row>
    <row r="2" spans="1:13" x14ac:dyDescent="0.3">
      <c r="A2" s="2" t="s">
        <v>100</v>
      </c>
      <c r="B2" s="2" t="s">
        <v>122</v>
      </c>
      <c r="C2" s="2" t="s">
        <v>123</v>
      </c>
      <c r="D2" s="2" t="s">
        <v>124</v>
      </c>
      <c r="E2" s="2" t="s">
        <v>125</v>
      </c>
      <c r="F2" s="2" t="s">
        <v>126</v>
      </c>
      <c r="H2" s="2" t="s">
        <v>100</v>
      </c>
      <c r="I2" s="2" t="s">
        <v>122</v>
      </c>
      <c r="J2" s="2" t="s">
        <v>123</v>
      </c>
      <c r="K2" s="2" t="s">
        <v>124</v>
      </c>
      <c r="L2" s="2" t="s">
        <v>125</v>
      </c>
      <c r="M2" s="2" t="s">
        <v>126</v>
      </c>
    </row>
    <row r="3" spans="1:13" x14ac:dyDescent="0.3">
      <c r="A3" s="4" t="s">
        <v>115</v>
      </c>
      <c r="B3" s="7">
        <v>100</v>
      </c>
      <c r="C3" s="7">
        <v>60</v>
      </c>
      <c r="D3" s="7">
        <v>6000</v>
      </c>
      <c r="E3" s="7">
        <v>24</v>
      </c>
      <c r="F3" s="7">
        <v>5976</v>
      </c>
      <c r="H3" s="4" t="s">
        <v>115</v>
      </c>
      <c r="I3" s="7">
        <v>100</v>
      </c>
      <c r="J3" s="7">
        <v>64</v>
      </c>
      <c r="K3" s="7">
        <v>6400</v>
      </c>
      <c r="L3" s="7">
        <v>26</v>
      </c>
      <c r="M3" s="7">
        <v>6374</v>
      </c>
    </row>
    <row r="4" spans="1:13" x14ac:dyDescent="0.3">
      <c r="A4" s="4" t="s">
        <v>116</v>
      </c>
      <c r="B4" s="7">
        <v>150</v>
      </c>
      <c r="C4" s="7">
        <v>60</v>
      </c>
      <c r="D4" s="7">
        <v>9000</v>
      </c>
      <c r="E4" s="7">
        <v>36</v>
      </c>
      <c r="F4" s="7">
        <v>8964</v>
      </c>
      <c r="H4" s="4" t="s">
        <v>116</v>
      </c>
      <c r="I4" s="7">
        <v>150</v>
      </c>
      <c r="J4" s="7">
        <v>64</v>
      </c>
      <c r="K4" s="7">
        <v>9600</v>
      </c>
      <c r="L4" s="7">
        <v>39</v>
      </c>
      <c r="M4" s="7">
        <v>9561</v>
      </c>
    </row>
    <row r="5" spans="1:13" x14ac:dyDescent="0.3">
      <c r="A5" s="4" t="s">
        <v>117</v>
      </c>
      <c r="B5" s="7">
        <v>200</v>
      </c>
      <c r="C5" s="7">
        <v>60</v>
      </c>
      <c r="D5" s="7">
        <v>12000</v>
      </c>
      <c r="E5" s="7">
        <v>48</v>
      </c>
      <c r="F5" s="7">
        <v>11952</v>
      </c>
      <c r="H5" s="4" t="s">
        <v>117</v>
      </c>
      <c r="I5" s="7">
        <v>200</v>
      </c>
      <c r="J5" s="7">
        <v>64</v>
      </c>
      <c r="K5" s="7">
        <v>12800</v>
      </c>
      <c r="L5" s="7">
        <v>52</v>
      </c>
      <c r="M5" s="7">
        <v>12748</v>
      </c>
    </row>
    <row r="6" spans="1:13" x14ac:dyDescent="0.3">
      <c r="A6" s="4" t="s">
        <v>118</v>
      </c>
      <c r="B6" s="7">
        <v>120</v>
      </c>
      <c r="C6" s="7">
        <v>60</v>
      </c>
      <c r="D6" s="7">
        <v>7200</v>
      </c>
      <c r="E6" s="7">
        <v>29</v>
      </c>
      <c r="F6" s="7">
        <v>7171</v>
      </c>
      <c r="H6" s="4" t="s">
        <v>118</v>
      </c>
      <c r="I6" s="7">
        <v>120</v>
      </c>
      <c r="J6" s="7">
        <v>64</v>
      </c>
      <c r="K6" s="7">
        <v>7680</v>
      </c>
      <c r="L6" s="7">
        <v>31</v>
      </c>
      <c r="M6" s="7">
        <v>7649</v>
      </c>
    </row>
    <row r="7" spans="1:13" x14ac:dyDescent="0.3">
      <c r="A7" s="4" t="s">
        <v>119</v>
      </c>
      <c r="B7" s="7">
        <v>80</v>
      </c>
      <c r="C7" s="7">
        <v>60</v>
      </c>
      <c r="D7" s="7">
        <v>4800</v>
      </c>
      <c r="E7" s="7">
        <v>19</v>
      </c>
      <c r="F7" s="7">
        <v>4781</v>
      </c>
      <c r="H7" s="4" t="s">
        <v>119</v>
      </c>
      <c r="I7" s="7">
        <v>80</v>
      </c>
      <c r="J7" s="7">
        <v>64</v>
      </c>
      <c r="K7" s="7">
        <v>5120</v>
      </c>
      <c r="L7" s="7">
        <v>21</v>
      </c>
      <c r="M7" s="7">
        <v>5099</v>
      </c>
    </row>
    <row r="8" spans="1:13" x14ac:dyDescent="0.3">
      <c r="A8" s="4" t="s">
        <v>120</v>
      </c>
      <c r="B8" s="7">
        <v>200</v>
      </c>
      <c r="C8" s="7">
        <v>60</v>
      </c>
      <c r="D8" s="7">
        <v>12000</v>
      </c>
      <c r="E8" s="7">
        <v>48</v>
      </c>
      <c r="F8" s="7">
        <v>11952</v>
      </c>
      <c r="H8" s="4" t="s">
        <v>120</v>
      </c>
      <c r="I8" s="7">
        <v>200</v>
      </c>
      <c r="J8" s="7">
        <v>64</v>
      </c>
      <c r="K8" s="7">
        <v>12800</v>
      </c>
      <c r="L8" s="7">
        <v>52</v>
      </c>
      <c r="M8" s="7">
        <v>12748</v>
      </c>
    </row>
    <row r="9" spans="1:13" x14ac:dyDescent="0.3">
      <c r="A9" s="4" t="s">
        <v>121</v>
      </c>
      <c r="B9" s="7">
        <v>180</v>
      </c>
      <c r="C9" s="7">
        <v>60</v>
      </c>
      <c r="D9" s="7">
        <v>10800</v>
      </c>
      <c r="E9" s="7">
        <v>43</v>
      </c>
      <c r="F9" s="7">
        <v>10757</v>
      </c>
      <c r="H9" s="4" t="s">
        <v>121</v>
      </c>
      <c r="I9" s="7">
        <v>180</v>
      </c>
      <c r="J9" s="7">
        <v>64</v>
      </c>
      <c r="K9" s="7">
        <v>11520</v>
      </c>
      <c r="L9" s="7">
        <v>47</v>
      </c>
      <c r="M9" s="7">
        <v>11473</v>
      </c>
    </row>
    <row r="11" spans="1:13" ht="17.25" x14ac:dyDescent="0.3">
      <c r="A11" s="45" t="s">
        <v>305</v>
      </c>
      <c r="B11" s="45"/>
      <c r="C11" s="45"/>
      <c r="D11" s="45"/>
      <c r="E11" s="45"/>
      <c r="F11" s="45"/>
      <c r="H11" s="46" t="s">
        <v>306</v>
      </c>
      <c r="I11" s="46"/>
      <c r="J11" s="46"/>
      <c r="K11" s="46"/>
      <c r="L11" s="15"/>
      <c r="M11" s="15"/>
    </row>
    <row r="12" spans="1:13" x14ac:dyDescent="0.3">
      <c r="A12" s="2" t="s">
        <v>100</v>
      </c>
      <c r="B12" s="2" t="s">
        <v>122</v>
      </c>
      <c r="C12" s="2" t="s">
        <v>123</v>
      </c>
      <c r="D12" s="2" t="s">
        <v>124</v>
      </c>
      <c r="E12" s="2" t="s">
        <v>125</v>
      </c>
      <c r="F12" s="2" t="s">
        <v>126</v>
      </c>
      <c r="H12" s="2" t="s">
        <v>100</v>
      </c>
      <c r="I12" s="2" t="s">
        <v>124</v>
      </c>
      <c r="J12" s="2" t="s">
        <v>125</v>
      </c>
      <c r="K12" s="2" t="s">
        <v>126</v>
      </c>
      <c r="L12" s="8"/>
      <c r="M12" s="8"/>
    </row>
    <row r="13" spans="1:13" x14ac:dyDescent="0.3">
      <c r="A13" s="4" t="s">
        <v>115</v>
      </c>
      <c r="B13" s="7">
        <v>100</v>
      </c>
      <c r="C13" s="7">
        <v>62</v>
      </c>
      <c r="D13" s="7">
        <v>6200</v>
      </c>
      <c r="E13" s="7">
        <v>22</v>
      </c>
      <c r="F13" s="7">
        <v>6178</v>
      </c>
      <c r="H13" s="4" t="s">
        <v>115</v>
      </c>
      <c r="I13" s="7">
        <v>6200</v>
      </c>
      <c r="J13" s="23">
        <v>24</v>
      </c>
      <c r="K13" s="7">
        <v>6176</v>
      </c>
      <c r="L13" s="9"/>
      <c r="M13" s="10"/>
    </row>
    <row r="14" spans="1:13" x14ac:dyDescent="0.3">
      <c r="A14" s="4" t="s">
        <v>116</v>
      </c>
      <c r="B14" s="7">
        <v>150</v>
      </c>
      <c r="C14" s="7">
        <v>62</v>
      </c>
      <c r="D14" s="7">
        <v>9300</v>
      </c>
      <c r="E14" s="7">
        <v>33</v>
      </c>
      <c r="F14" s="7">
        <v>9267</v>
      </c>
      <c r="H14" s="4" t="s">
        <v>116</v>
      </c>
      <c r="I14" s="7">
        <v>9300</v>
      </c>
      <c r="J14" s="23">
        <v>36</v>
      </c>
      <c r="K14" s="7">
        <v>9264</v>
      </c>
      <c r="L14" s="9"/>
      <c r="M14" s="10"/>
    </row>
    <row r="15" spans="1:13" x14ac:dyDescent="0.3">
      <c r="A15" s="4" t="s">
        <v>117</v>
      </c>
      <c r="B15" s="7">
        <v>200</v>
      </c>
      <c r="C15" s="7">
        <v>62</v>
      </c>
      <c r="D15" s="7">
        <v>12400</v>
      </c>
      <c r="E15" s="7">
        <v>43</v>
      </c>
      <c r="F15" s="7">
        <v>12357</v>
      </c>
      <c r="H15" s="4" t="s">
        <v>117</v>
      </c>
      <c r="I15" s="7">
        <v>12400</v>
      </c>
      <c r="J15" s="23">
        <v>47.666666666666664</v>
      </c>
      <c r="K15" s="7">
        <v>12352.333333333334</v>
      </c>
      <c r="L15" s="9"/>
      <c r="M15" s="10"/>
    </row>
    <row r="16" spans="1:13" x14ac:dyDescent="0.3">
      <c r="A16" s="4" t="s">
        <v>118</v>
      </c>
      <c r="B16" s="7">
        <v>120</v>
      </c>
      <c r="C16" s="7">
        <v>62</v>
      </c>
      <c r="D16" s="7">
        <v>7440</v>
      </c>
      <c r="E16" s="7">
        <v>26</v>
      </c>
      <c r="F16" s="7">
        <v>7414</v>
      </c>
      <c r="H16" s="4" t="s">
        <v>118</v>
      </c>
      <c r="I16" s="7">
        <v>7440</v>
      </c>
      <c r="J16" s="23">
        <v>28.666666666666668</v>
      </c>
      <c r="K16" s="7">
        <v>7411.333333333333</v>
      </c>
      <c r="L16" s="9"/>
      <c r="M16" s="10"/>
    </row>
    <row r="17" spans="1:13" x14ac:dyDescent="0.3">
      <c r="A17" s="4" t="s">
        <v>119</v>
      </c>
      <c r="B17" s="7">
        <v>80</v>
      </c>
      <c r="C17" s="7">
        <v>62</v>
      </c>
      <c r="D17" s="7">
        <v>4960</v>
      </c>
      <c r="E17" s="7">
        <v>17</v>
      </c>
      <c r="F17" s="7">
        <v>4943</v>
      </c>
      <c r="H17" s="4" t="s">
        <v>119</v>
      </c>
      <c r="I17" s="7">
        <v>4960</v>
      </c>
      <c r="J17" s="23">
        <v>19</v>
      </c>
      <c r="K17" s="7">
        <v>4941</v>
      </c>
      <c r="L17" s="9"/>
      <c r="M17" s="10"/>
    </row>
    <row r="18" spans="1:13" x14ac:dyDescent="0.3">
      <c r="A18" s="4" t="s">
        <v>120</v>
      </c>
      <c r="B18" s="7">
        <v>200</v>
      </c>
      <c r="C18" s="7">
        <v>62</v>
      </c>
      <c r="D18" s="7">
        <v>12400</v>
      </c>
      <c r="E18" s="7">
        <v>43</v>
      </c>
      <c r="F18" s="7">
        <v>12357</v>
      </c>
      <c r="H18" s="4" t="s">
        <v>120</v>
      </c>
      <c r="I18" s="7">
        <v>12400</v>
      </c>
      <c r="J18" s="23">
        <v>47.666666666666664</v>
      </c>
      <c r="K18" s="7">
        <v>12352.333333333334</v>
      </c>
      <c r="L18" s="9"/>
      <c r="M18" s="10"/>
    </row>
    <row r="19" spans="1:13" x14ac:dyDescent="0.3">
      <c r="A19" s="4" t="s">
        <v>121</v>
      </c>
      <c r="B19" s="7">
        <v>180</v>
      </c>
      <c r="C19" s="7">
        <v>62</v>
      </c>
      <c r="D19" s="7">
        <v>11160</v>
      </c>
      <c r="E19" s="7">
        <v>39</v>
      </c>
      <c r="F19" s="7">
        <v>11121</v>
      </c>
      <c r="H19" s="4" t="s">
        <v>121</v>
      </c>
      <c r="I19" s="7">
        <v>11160</v>
      </c>
      <c r="J19" s="23">
        <v>43</v>
      </c>
      <c r="K19" s="7">
        <v>11117</v>
      </c>
      <c r="L19" s="9"/>
      <c r="M19" s="10"/>
    </row>
  </sheetData>
  <dataConsolidate function="average" topLabels="1">
    <dataRefs count="3">
      <dataRef ref="A2:F9" sheet="분석작업-2"/>
      <dataRef ref="H2:M9" sheet="분석작업-2"/>
      <dataRef ref="A12:F19" sheet="분석작업-2"/>
    </dataRefs>
  </dataConsolidate>
  <mergeCells count="4">
    <mergeCell ref="A1:F1"/>
    <mergeCell ref="H1:M1"/>
    <mergeCell ref="A11:F11"/>
    <mergeCell ref="H11:K1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3"/>
  <sheetViews>
    <sheetView workbookViewId="0">
      <selection sqref="A1:H1"/>
    </sheetView>
  </sheetViews>
  <sheetFormatPr defaultRowHeight="16.5" x14ac:dyDescent="0.3"/>
  <cols>
    <col min="4" max="8" width="9.375" customWidth="1"/>
  </cols>
  <sheetData>
    <row r="1" spans="1:8" ht="20.25" x14ac:dyDescent="0.3">
      <c r="A1" s="44" t="s">
        <v>187</v>
      </c>
      <c r="B1" s="44"/>
      <c r="C1" s="44"/>
      <c r="D1" s="44"/>
      <c r="E1" s="44"/>
      <c r="F1" s="44"/>
      <c r="G1" s="44"/>
      <c r="H1" s="44"/>
    </row>
    <row r="3" spans="1:8" x14ac:dyDescent="0.3">
      <c r="A3" s="39" t="s">
        <v>127</v>
      </c>
      <c r="B3" s="40" t="s">
        <v>188</v>
      </c>
      <c r="C3" s="40" t="s">
        <v>189</v>
      </c>
      <c r="D3" s="40" t="s">
        <v>190</v>
      </c>
      <c r="E3" s="40" t="s">
        <v>191</v>
      </c>
      <c r="F3" s="40" t="s">
        <v>192</v>
      </c>
      <c r="G3" s="40" t="s">
        <v>193</v>
      </c>
      <c r="H3" s="40" t="s">
        <v>194</v>
      </c>
    </row>
    <row r="4" spans="1:8" x14ac:dyDescent="0.3">
      <c r="A4" s="2" t="s">
        <v>225</v>
      </c>
      <c r="B4" s="2" t="s">
        <v>107</v>
      </c>
      <c r="C4" s="2" t="s">
        <v>211</v>
      </c>
      <c r="D4" s="7">
        <v>60000</v>
      </c>
      <c r="E4" s="7">
        <v>126000</v>
      </c>
      <c r="F4" s="7">
        <v>280000</v>
      </c>
      <c r="G4" s="7">
        <v>84000</v>
      </c>
      <c r="H4" s="7">
        <f>SUM(D4:G4)</f>
        <v>550000</v>
      </c>
    </row>
    <row r="5" spans="1:8" x14ac:dyDescent="0.3">
      <c r="A5" s="2" t="s">
        <v>202</v>
      </c>
      <c r="B5" s="2" t="s">
        <v>106</v>
      </c>
      <c r="C5" s="2" t="s">
        <v>212</v>
      </c>
      <c r="D5" s="7">
        <v>130000</v>
      </c>
      <c r="E5" s="7">
        <v>90000</v>
      </c>
      <c r="F5" s="7">
        <v>200000</v>
      </c>
      <c r="G5" s="7">
        <v>60000</v>
      </c>
      <c r="H5" s="7">
        <f t="shared" ref="H5:H13" si="0">SUM(D5:G5)</f>
        <v>480000</v>
      </c>
    </row>
    <row r="6" spans="1:8" x14ac:dyDescent="0.3">
      <c r="A6" s="2" t="s">
        <v>203</v>
      </c>
      <c r="B6" s="2" t="s">
        <v>105</v>
      </c>
      <c r="C6" s="2" t="s">
        <v>213</v>
      </c>
      <c r="D6" s="7">
        <v>100000</v>
      </c>
      <c r="E6" s="7">
        <v>180000</v>
      </c>
      <c r="F6" s="7">
        <v>400000</v>
      </c>
      <c r="G6" s="7">
        <v>120000</v>
      </c>
      <c r="H6" s="7">
        <f t="shared" si="0"/>
        <v>800000</v>
      </c>
    </row>
    <row r="7" spans="1:8" x14ac:dyDescent="0.3">
      <c r="A7" s="2" t="s">
        <v>204</v>
      </c>
      <c r="B7" s="2" t="s">
        <v>195</v>
      </c>
      <c r="C7" s="2" t="s">
        <v>214</v>
      </c>
      <c r="D7" s="7">
        <v>110000</v>
      </c>
      <c r="E7" s="7">
        <v>54000</v>
      </c>
      <c r="F7" s="7">
        <v>120000</v>
      </c>
      <c r="G7" s="7">
        <v>36000</v>
      </c>
      <c r="H7" s="7">
        <f t="shared" si="0"/>
        <v>320000</v>
      </c>
    </row>
    <row r="8" spans="1:8" x14ac:dyDescent="0.3">
      <c r="A8" s="2" t="s">
        <v>205</v>
      </c>
      <c r="B8" s="2" t="s">
        <v>196</v>
      </c>
      <c r="C8" s="2" t="s">
        <v>215</v>
      </c>
      <c r="D8" s="7">
        <v>110000</v>
      </c>
      <c r="E8" s="7">
        <v>108000</v>
      </c>
      <c r="F8" s="7">
        <v>240000</v>
      </c>
      <c r="G8" s="7">
        <v>72000</v>
      </c>
      <c r="H8" s="7">
        <f t="shared" si="0"/>
        <v>530000</v>
      </c>
    </row>
    <row r="9" spans="1:8" x14ac:dyDescent="0.3">
      <c r="A9" s="2" t="s">
        <v>206</v>
      </c>
      <c r="B9" s="2" t="s">
        <v>197</v>
      </c>
      <c r="C9" s="2" t="s">
        <v>212</v>
      </c>
      <c r="D9" s="7">
        <v>120000</v>
      </c>
      <c r="E9" s="7">
        <v>90000</v>
      </c>
      <c r="F9" s="7">
        <v>200000</v>
      </c>
      <c r="G9" s="7">
        <v>60000</v>
      </c>
      <c r="H9" s="7">
        <f t="shared" si="0"/>
        <v>470000</v>
      </c>
    </row>
    <row r="10" spans="1:8" x14ac:dyDescent="0.3">
      <c r="A10" s="2" t="s">
        <v>207</v>
      </c>
      <c r="B10" s="2" t="s">
        <v>198</v>
      </c>
      <c r="C10" s="2" t="s">
        <v>216</v>
      </c>
      <c r="D10" s="7">
        <v>120000</v>
      </c>
      <c r="E10" s="7">
        <v>144000</v>
      </c>
      <c r="F10" s="7">
        <v>320000</v>
      </c>
      <c r="G10" s="7">
        <v>96000</v>
      </c>
      <c r="H10" s="7">
        <f t="shared" si="0"/>
        <v>680000</v>
      </c>
    </row>
    <row r="11" spans="1:8" x14ac:dyDescent="0.3">
      <c r="A11" s="2" t="s">
        <v>208</v>
      </c>
      <c r="B11" s="2" t="s">
        <v>199</v>
      </c>
      <c r="C11" s="2" t="s">
        <v>217</v>
      </c>
      <c r="D11" s="7">
        <v>100000</v>
      </c>
      <c r="E11" s="7">
        <v>72000</v>
      </c>
      <c r="F11" s="7">
        <v>160000</v>
      </c>
      <c r="G11" s="7">
        <v>48000</v>
      </c>
      <c r="H11" s="7">
        <f t="shared" si="0"/>
        <v>380000</v>
      </c>
    </row>
    <row r="12" spans="1:8" x14ac:dyDescent="0.3">
      <c r="A12" s="2" t="s">
        <v>209</v>
      </c>
      <c r="B12" s="2" t="s">
        <v>200</v>
      </c>
      <c r="C12" s="2" t="s">
        <v>211</v>
      </c>
      <c r="D12" s="7">
        <v>50000</v>
      </c>
      <c r="E12" s="7">
        <v>126000</v>
      </c>
      <c r="F12" s="7">
        <v>280000</v>
      </c>
      <c r="G12" s="7">
        <v>84000</v>
      </c>
      <c r="H12" s="7">
        <f t="shared" si="0"/>
        <v>540000</v>
      </c>
    </row>
    <row r="13" spans="1:8" x14ac:dyDescent="0.3">
      <c r="A13" s="2" t="s">
        <v>210</v>
      </c>
      <c r="B13" s="2" t="s">
        <v>201</v>
      </c>
      <c r="C13" s="2" t="s">
        <v>215</v>
      </c>
      <c r="D13" s="7">
        <v>80000</v>
      </c>
      <c r="E13" s="7">
        <v>108000</v>
      </c>
      <c r="F13" s="7">
        <v>240000</v>
      </c>
      <c r="G13" s="7">
        <v>72000</v>
      </c>
      <c r="H13" s="7">
        <f t="shared" si="0"/>
        <v>500000</v>
      </c>
    </row>
  </sheetData>
  <mergeCells count="1">
    <mergeCell ref="A1:H1"/>
  </mergeCells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12"/>
  <sheetViews>
    <sheetView workbookViewId="0">
      <selection sqref="A1:G1"/>
    </sheetView>
  </sheetViews>
  <sheetFormatPr defaultRowHeight="16.5" x14ac:dyDescent="0.3"/>
  <cols>
    <col min="1" max="1" width="11.625" customWidth="1"/>
    <col min="2" max="2" width="11" customWidth="1"/>
    <col min="3" max="3" width="13" customWidth="1"/>
    <col min="5" max="5" width="9.625" customWidth="1"/>
    <col min="6" max="6" width="11.75" customWidth="1"/>
    <col min="7" max="7" width="11.875" customWidth="1"/>
  </cols>
  <sheetData>
    <row r="1" spans="1:7" ht="20.25" x14ac:dyDescent="0.3">
      <c r="A1" s="44" t="s">
        <v>152</v>
      </c>
      <c r="B1" s="44"/>
      <c r="C1" s="44"/>
      <c r="D1" s="44"/>
      <c r="E1" s="44"/>
      <c r="F1" s="44"/>
      <c r="G1" s="44"/>
    </row>
    <row r="3" spans="1:7" x14ac:dyDescent="0.3">
      <c r="A3" s="18" t="s">
        <v>153</v>
      </c>
      <c r="B3" s="18" t="s">
        <v>154</v>
      </c>
      <c r="C3" s="18" t="s">
        <v>4</v>
      </c>
      <c r="D3" s="18" t="s">
        <v>155</v>
      </c>
      <c r="E3" s="18" t="s">
        <v>156</v>
      </c>
      <c r="F3" s="18" t="s">
        <v>157</v>
      </c>
      <c r="G3" s="18" t="s">
        <v>158</v>
      </c>
    </row>
    <row r="4" spans="1:7" x14ac:dyDescent="0.3">
      <c r="A4" s="18" t="s">
        <v>159</v>
      </c>
      <c r="B4" s="18" t="s">
        <v>160</v>
      </c>
      <c r="C4" s="18" t="s">
        <v>161</v>
      </c>
      <c r="D4" s="18" t="s">
        <v>162</v>
      </c>
      <c r="E4" s="11">
        <v>7000</v>
      </c>
      <c r="F4" s="11">
        <v>22650000</v>
      </c>
      <c r="G4" s="11">
        <v>31710000</v>
      </c>
    </row>
    <row r="5" spans="1:7" x14ac:dyDescent="0.3">
      <c r="A5" s="18" t="s">
        <v>163</v>
      </c>
      <c r="B5" s="18" t="s">
        <v>164</v>
      </c>
      <c r="C5" s="18" t="s">
        <v>165</v>
      </c>
      <c r="D5" s="18" t="s">
        <v>166</v>
      </c>
      <c r="E5" s="11">
        <v>12000</v>
      </c>
      <c r="F5" s="11">
        <v>15850000</v>
      </c>
      <c r="G5" s="11">
        <v>22190000</v>
      </c>
    </row>
    <row r="6" spans="1:7" x14ac:dyDescent="0.3">
      <c r="A6" s="18" t="s">
        <v>167</v>
      </c>
      <c r="B6" s="18" t="s">
        <v>168</v>
      </c>
      <c r="C6" s="18" t="s">
        <v>169</v>
      </c>
      <c r="D6" s="18" t="s">
        <v>162</v>
      </c>
      <c r="E6" s="11">
        <v>8000</v>
      </c>
      <c r="F6" s="11">
        <v>17500000</v>
      </c>
      <c r="G6" s="11">
        <v>24500000</v>
      </c>
    </row>
    <row r="7" spans="1:7" x14ac:dyDescent="0.3">
      <c r="A7" s="18" t="s">
        <v>170</v>
      </c>
      <c r="B7" s="18" t="s">
        <v>171</v>
      </c>
      <c r="C7" s="18" t="s">
        <v>24</v>
      </c>
      <c r="D7" s="18" t="s">
        <v>166</v>
      </c>
      <c r="E7" s="11">
        <v>10000</v>
      </c>
      <c r="F7" s="11">
        <v>16800000</v>
      </c>
      <c r="G7" s="11">
        <v>23520000</v>
      </c>
    </row>
    <row r="8" spans="1:7" x14ac:dyDescent="0.3">
      <c r="A8" s="18" t="s">
        <v>172</v>
      </c>
      <c r="B8" s="18" t="s">
        <v>173</v>
      </c>
      <c r="C8" s="18" t="s">
        <v>174</v>
      </c>
      <c r="D8" s="18" t="s">
        <v>162</v>
      </c>
      <c r="E8" s="11">
        <v>6000</v>
      </c>
      <c r="F8" s="11">
        <v>26500000</v>
      </c>
      <c r="G8" s="11">
        <v>37100000</v>
      </c>
    </row>
    <row r="9" spans="1:7" x14ac:dyDescent="0.3">
      <c r="A9" s="18" t="s">
        <v>175</v>
      </c>
      <c r="B9" s="18" t="s">
        <v>176</v>
      </c>
      <c r="C9" s="18" t="s">
        <v>26</v>
      </c>
      <c r="D9" s="18" t="s">
        <v>166</v>
      </c>
      <c r="E9" s="11">
        <v>10000</v>
      </c>
      <c r="F9" s="11">
        <v>17000000</v>
      </c>
      <c r="G9" s="11">
        <v>23800000</v>
      </c>
    </row>
    <row r="10" spans="1:7" x14ac:dyDescent="0.3">
      <c r="A10" s="18" t="s">
        <v>177</v>
      </c>
      <c r="B10" s="18" t="s">
        <v>178</v>
      </c>
      <c r="C10" s="18" t="s">
        <v>179</v>
      </c>
      <c r="D10" s="18" t="s">
        <v>162</v>
      </c>
      <c r="E10" s="11">
        <v>5000</v>
      </c>
      <c r="F10" s="11">
        <v>19740000</v>
      </c>
      <c r="G10" s="11">
        <v>27636000</v>
      </c>
    </row>
    <row r="11" spans="1:7" x14ac:dyDescent="0.3">
      <c r="A11" s="18" t="s">
        <v>180</v>
      </c>
      <c r="B11" s="18" t="s">
        <v>181</v>
      </c>
      <c r="C11" s="18" t="s">
        <v>182</v>
      </c>
      <c r="D11" s="18" t="s">
        <v>162</v>
      </c>
      <c r="E11" s="11">
        <v>8000</v>
      </c>
      <c r="F11" s="11">
        <v>23050000</v>
      </c>
      <c r="G11" s="11">
        <v>32270000</v>
      </c>
    </row>
    <row r="12" spans="1:7" x14ac:dyDescent="0.3">
      <c r="A12" s="18" t="s">
        <v>183</v>
      </c>
      <c r="B12" s="18" t="s">
        <v>184</v>
      </c>
      <c r="C12" s="18" t="s">
        <v>185</v>
      </c>
      <c r="D12" s="18" t="s">
        <v>162</v>
      </c>
      <c r="E12" s="11">
        <v>7000</v>
      </c>
      <c r="F12" s="11">
        <v>18500000</v>
      </c>
      <c r="G12" s="11">
        <v>25900000</v>
      </c>
    </row>
  </sheetData>
  <mergeCells count="1">
    <mergeCell ref="A1:G1"/>
  </mergeCells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8BA43F-2B13-4378-8F5B-D3AB45A741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백만원</vt:lpstr>
      <vt:lpstr>상여금비율</vt:lpstr>
      <vt:lpstr>아시아</vt:lpstr>
      <vt:lpstr>정상인</vt:lpstr>
      <vt:lpstr>조만근</vt:lpstr>
    </vt:vector>
  </TitlesOfParts>
  <Company>대한민국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한국인</dc:creator>
  <cp:lastModifiedBy>조준현</cp:lastModifiedBy>
  <dcterms:created xsi:type="dcterms:W3CDTF">2013-05-03T05:13:39Z</dcterms:created>
  <dcterms:modified xsi:type="dcterms:W3CDTF">2023-10-09T16:37:53Z</dcterms:modified>
</cp:coreProperties>
</file>