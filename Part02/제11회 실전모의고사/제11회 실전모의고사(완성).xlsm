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11회 실전모의고사\"/>
    </mc:Choice>
  </mc:AlternateContent>
  <xr:revisionPtr revIDLastSave="0" documentId="13_ncr:1_{598DD988-BB42-4636-8D9E-DF18F660707D}" xr6:coauthVersionLast="47" xr6:coauthVersionMax="47" xr10:uidLastSave="{00000000-0000-0000-0000-000000000000}"/>
  <bookViews>
    <workbookView xWindow="12075" yWindow="1995" windowWidth="15390" windowHeight="12690" xr2:uid="{00000000-000D-0000-FFFF-FFFF00000000}"/>
  </bookViews>
  <sheets>
    <sheet name="기본작업-1" sheetId="4" r:id="rId1"/>
    <sheet name="기본작업-2" sheetId="5" r:id="rId2"/>
    <sheet name="기본작업-3" sheetId="6" r:id="rId3"/>
    <sheet name="계산작업" sheetId="7" r:id="rId4"/>
    <sheet name="분석작업-1" sheetId="8" r:id="rId5"/>
    <sheet name="분석작업-2" sheetId="9" r:id="rId6"/>
    <sheet name="매크로작업" sheetId="12" r:id="rId7"/>
    <sheet name="차트작업" sheetId="11" r:id="rId8"/>
  </sheets>
  <definedNames>
    <definedName name="요금제">'기본작업-2'!$D$4:$D$10</definedName>
  </definedNames>
  <calcPr calcId="191029"/>
  <pivotCaches>
    <pivotCache cacheId="8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2" l="1"/>
  <c r="F6" i="12"/>
  <c r="F7" i="12"/>
  <c r="F8" i="12"/>
  <c r="F9" i="12"/>
  <c r="F4" i="12"/>
  <c r="C18" i="7" l="1"/>
  <c r="C19" i="7"/>
  <c r="C20" i="7"/>
  <c r="C21" i="7"/>
  <c r="C22" i="7"/>
  <c r="C23" i="7"/>
  <c r="C24" i="7"/>
  <c r="C17" i="7"/>
  <c r="I4" i="7" l="1"/>
  <c r="I5" i="7"/>
  <c r="I6" i="7"/>
  <c r="I7" i="7"/>
  <c r="I8" i="7"/>
  <c r="I9" i="7"/>
  <c r="I10" i="7"/>
  <c r="I11" i="7"/>
  <c r="I3" i="7"/>
  <c r="D4" i="7"/>
  <c r="D5" i="7"/>
  <c r="D6" i="7"/>
  <c r="D7" i="7"/>
  <c r="D3" i="7"/>
  <c r="E4" i="11" l="1"/>
  <c r="E5" i="11"/>
  <c r="E6" i="11"/>
  <c r="E7" i="11"/>
  <c r="E8" i="11"/>
  <c r="C9" i="11"/>
  <c r="D9" i="11"/>
  <c r="E3" i="11"/>
  <c r="B9" i="11"/>
  <c r="H5" i="8"/>
  <c r="H6" i="8"/>
  <c r="H7" i="8"/>
  <c r="H8" i="8"/>
  <c r="H9" i="8"/>
  <c r="H10" i="8"/>
  <c r="H11" i="8"/>
  <c r="H4" i="8"/>
  <c r="E9" i="11" l="1"/>
  <c r="E29" i="7"/>
  <c r="E30" i="7"/>
  <c r="E31" i="7"/>
  <c r="E32" i="7"/>
  <c r="E33" i="7"/>
  <c r="E34" i="7"/>
  <c r="E35" i="7"/>
  <c r="E36" i="7"/>
  <c r="E28" i="7"/>
  <c r="D15" i="9"/>
  <c r="D14" i="9"/>
  <c r="D13" i="9"/>
  <c r="D12" i="9"/>
  <c r="D11" i="9"/>
  <c r="I7" i="9"/>
  <c r="D7" i="9"/>
  <c r="I6" i="9"/>
  <c r="D6" i="9"/>
  <c r="I5" i="9"/>
  <c r="D5" i="9"/>
  <c r="I4" i="9"/>
  <c r="D4" i="9"/>
  <c r="I3" i="9"/>
  <c r="D3" i="9"/>
  <c r="I23" i="7"/>
  <c r="I22" i="7"/>
  <c r="I21" i="7"/>
  <c r="I20" i="7"/>
  <c r="I19" i="7"/>
  <c r="I18" i="7"/>
  <c r="I17" i="7"/>
  <c r="I24" i="7" s="1"/>
  <c r="I16" i="7"/>
  <c r="I15" i="7"/>
  <c r="I12" i="6"/>
  <c r="I11" i="6"/>
  <c r="I10" i="6"/>
  <c r="I9" i="6"/>
  <c r="I8" i="6"/>
  <c r="I7" i="6"/>
  <c r="I6" i="6"/>
  <c r="I5" i="6"/>
  <c r="I4" i="6"/>
  <c r="F11" i="5"/>
  <c r="E11" i="5"/>
  <c r="G10" i="5"/>
  <c r="G9" i="5"/>
  <c r="G8" i="5"/>
  <c r="G7" i="5"/>
  <c r="G6" i="5"/>
  <c r="G5" i="5"/>
  <c r="G4" i="5"/>
  <c r="G11" i="5" s="1"/>
  <c r="G36" i="7" l="1"/>
</calcChain>
</file>

<file path=xl/sharedStrings.xml><?xml version="1.0" encoding="utf-8"?>
<sst xmlns="http://schemas.openxmlformats.org/spreadsheetml/2006/main" count="331" uniqueCount="244">
  <si>
    <t>고객명</t>
    <phoneticPr fontId="4" type="noConversion"/>
  </si>
  <si>
    <t>주소지</t>
    <phoneticPr fontId="4" type="noConversion"/>
  </si>
  <si>
    <t>번호</t>
    <phoneticPr fontId="4" type="noConversion"/>
  </si>
  <si>
    <t>요금제</t>
    <phoneticPr fontId="4" type="noConversion"/>
  </si>
  <si>
    <t>기본요금</t>
    <phoneticPr fontId="4" type="noConversion"/>
  </si>
  <si>
    <t>총통화시간(분)</t>
    <phoneticPr fontId="4" type="noConversion"/>
  </si>
  <si>
    <t>총사용금액</t>
    <phoneticPr fontId="4" type="noConversion"/>
  </si>
  <si>
    <t>한인애</t>
    <phoneticPr fontId="4" type="noConversion"/>
  </si>
  <si>
    <t>강동구</t>
    <phoneticPr fontId="4" type="noConversion"/>
  </si>
  <si>
    <t>010-1711-0098</t>
    <phoneticPr fontId="4" type="noConversion"/>
  </si>
  <si>
    <t>일반형</t>
    <phoneticPr fontId="4" type="noConversion"/>
  </si>
  <si>
    <t>소지우</t>
    <phoneticPr fontId="4" type="noConversion"/>
  </si>
  <si>
    <t>강남구</t>
    <phoneticPr fontId="4" type="noConversion"/>
  </si>
  <si>
    <t>010-6783-9908</t>
    <phoneticPr fontId="4" type="noConversion"/>
  </si>
  <si>
    <t>베이직플러스</t>
    <phoneticPr fontId="4" type="noConversion"/>
  </si>
  <si>
    <t>황동일</t>
    <phoneticPr fontId="4" type="noConversion"/>
  </si>
  <si>
    <t>중구</t>
    <phoneticPr fontId="4" type="noConversion"/>
  </si>
  <si>
    <t>010-4567-3245</t>
    <phoneticPr fontId="4" type="noConversion"/>
  </si>
  <si>
    <t>프리미엄</t>
    <phoneticPr fontId="4" type="noConversion"/>
  </si>
  <si>
    <t>피덕철</t>
    <phoneticPr fontId="4" type="noConversion"/>
  </si>
  <si>
    <t>종로구</t>
    <phoneticPr fontId="4" type="noConversion"/>
  </si>
  <si>
    <t>010-2345-0110</t>
    <phoneticPr fontId="4" type="noConversion"/>
  </si>
  <si>
    <t>패밀리</t>
    <phoneticPr fontId="4" type="noConversion"/>
  </si>
  <si>
    <t>명세빈</t>
    <phoneticPr fontId="4" type="noConversion"/>
  </si>
  <si>
    <t>강서구</t>
    <phoneticPr fontId="4" type="noConversion"/>
  </si>
  <si>
    <t>010-3452-7765</t>
    <phoneticPr fontId="4" type="noConversion"/>
  </si>
  <si>
    <t>미즈 플러스</t>
    <phoneticPr fontId="4" type="noConversion"/>
  </si>
  <si>
    <t>안동진</t>
    <phoneticPr fontId="4" type="noConversion"/>
  </si>
  <si>
    <t>노원구</t>
    <phoneticPr fontId="4" type="noConversion"/>
  </si>
  <si>
    <t>010-2234-5678</t>
    <phoneticPr fontId="4" type="noConversion"/>
  </si>
  <si>
    <t>민호영</t>
    <phoneticPr fontId="4" type="noConversion"/>
  </si>
  <si>
    <t>동대문구</t>
    <phoneticPr fontId="4" type="noConversion"/>
  </si>
  <si>
    <t>010-2231-6657</t>
    <phoneticPr fontId="4" type="noConversion"/>
  </si>
  <si>
    <t>평균</t>
    <phoneticPr fontId="4" type="noConversion"/>
  </si>
  <si>
    <t>등급</t>
    <phoneticPr fontId="4" type="noConversion"/>
  </si>
  <si>
    <t>컨텐츠이용료</t>
    <phoneticPr fontId="4" type="noConversion"/>
  </si>
  <si>
    <t>정보이용료</t>
    <phoneticPr fontId="4" type="noConversion"/>
  </si>
  <si>
    <t>서비스료</t>
    <phoneticPr fontId="4" type="noConversion"/>
  </si>
  <si>
    <t>요금할인</t>
    <phoneticPr fontId="4" type="noConversion"/>
  </si>
  <si>
    <t>세금</t>
    <phoneticPr fontId="4" type="noConversion"/>
  </si>
  <si>
    <t>사용요금</t>
    <phoneticPr fontId="4" type="noConversion"/>
  </si>
  <si>
    <t>김동수</t>
    <phoneticPr fontId="4" type="noConversion"/>
  </si>
  <si>
    <t>실버</t>
    <phoneticPr fontId="4" type="noConversion"/>
  </si>
  <si>
    <t>성진우</t>
    <phoneticPr fontId="4" type="noConversion"/>
  </si>
  <si>
    <t>브론즈</t>
    <phoneticPr fontId="4" type="noConversion"/>
  </si>
  <si>
    <t>정민철</t>
    <phoneticPr fontId="4" type="noConversion"/>
  </si>
  <si>
    <t>김동진</t>
    <phoneticPr fontId="4" type="noConversion"/>
  </si>
  <si>
    <t>이천수</t>
    <phoneticPr fontId="4" type="noConversion"/>
  </si>
  <si>
    <t>형민철</t>
    <phoneticPr fontId="4" type="noConversion"/>
  </si>
  <si>
    <t>전치국</t>
    <phoneticPr fontId="4" type="noConversion"/>
  </si>
  <si>
    <t>박태국</t>
    <phoneticPr fontId="4" type="noConversion"/>
  </si>
  <si>
    <t>골드</t>
    <phoneticPr fontId="4" type="noConversion"/>
  </si>
  <si>
    <t>천기우</t>
    <phoneticPr fontId="4" type="noConversion"/>
  </si>
  <si>
    <t>[표1] 지점별 제품 재고 현황</t>
    <phoneticPr fontId="4" type="noConversion"/>
  </si>
  <si>
    <t>[표2] 고객별 보험료 납부 현황</t>
    <phoneticPr fontId="4" type="noConversion"/>
  </si>
  <si>
    <t>제품코드</t>
    <phoneticPr fontId="4" type="noConversion"/>
  </si>
  <si>
    <t>지점명</t>
    <phoneticPr fontId="4" type="noConversion"/>
  </si>
  <si>
    <t>재고량</t>
    <phoneticPr fontId="4" type="noConversion"/>
  </si>
  <si>
    <t>제품명</t>
    <phoneticPr fontId="4" type="noConversion"/>
  </si>
  <si>
    <t>고객코드</t>
    <phoneticPr fontId="4" type="noConversion"/>
  </si>
  <si>
    <t>가입년도</t>
    <phoneticPr fontId="4" type="noConversion"/>
  </si>
  <si>
    <t>사고보험금</t>
    <phoneticPr fontId="4" type="noConversion"/>
  </si>
  <si>
    <t>인상여부</t>
    <phoneticPr fontId="4" type="noConversion"/>
  </si>
  <si>
    <t>MO-100K</t>
    <phoneticPr fontId="4" type="noConversion"/>
  </si>
  <si>
    <t>강남</t>
    <phoneticPr fontId="4" type="noConversion"/>
  </si>
  <si>
    <t>K-1542</t>
    <phoneticPr fontId="4" type="noConversion"/>
  </si>
  <si>
    <t>QS-200Q</t>
    <phoneticPr fontId="4" type="noConversion"/>
  </si>
  <si>
    <t>마포</t>
    <phoneticPr fontId="4" type="noConversion"/>
  </si>
  <si>
    <t>P-2943</t>
    <phoneticPr fontId="4" type="noConversion"/>
  </si>
  <si>
    <t>WG-150A</t>
    <phoneticPr fontId="4" type="noConversion"/>
  </si>
  <si>
    <t>M-3847</t>
    <phoneticPr fontId="4" type="noConversion"/>
  </si>
  <si>
    <t>강동</t>
    <phoneticPr fontId="4" type="noConversion"/>
  </si>
  <si>
    <t>G-1795</t>
    <phoneticPr fontId="4" type="noConversion"/>
  </si>
  <si>
    <t>F-2847</t>
    <phoneticPr fontId="4" type="noConversion"/>
  </si>
  <si>
    <t>A-3912</t>
    <phoneticPr fontId="4" type="noConversion"/>
  </si>
  <si>
    <t>코드</t>
    <phoneticPr fontId="4" type="noConversion"/>
  </si>
  <si>
    <t>S-2741</t>
    <phoneticPr fontId="4" type="noConversion"/>
  </si>
  <si>
    <t>K</t>
    <phoneticPr fontId="4" type="noConversion"/>
  </si>
  <si>
    <t>TV</t>
    <phoneticPr fontId="4" type="noConversion"/>
  </si>
  <si>
    <t>K-2734</t>
    <phoneticPr fontId="4" type="noConversion"/>
  </si>
  <si>
    <t>Q</t>
    <phoneticPr fontId="4" type="noConversion"/>
  </si>
  <si>
    <t>냉장고</t>
    <phoneticPr fontId="4" type="noConversion"/>
  </si>
  <si>
    <t>S-1847</t>
    <phoneticPr fontId="4" type="noConversion"/>
  </si>
  <si>
    <t>A</t>
    <phoneticPr fontId="4" type="noConversion"/>
  </si>
  <si>
    <t>세탁기</t>
    <phoneticPr fontId="4" type="noConversion"/>
  </si>
  <si>
    <t>[표3] 신입사원 인적 사항</t>
    <phoneticPr fontId="4" type="noConversion"/>
  </si>
  <si>
    <t>성명</t>
    <phoneticPr fontId="4" type="noConversion"/>
  </si>
  <si>
    <t>직급</t>
    <phoneticPr fontId="4" type="noConversion"/>
  </si>
  <si>
    <t>부서</t>
    <phoneticPr fontId="4" type="noConversion"/>
  </si>
  <si>
    <t>기본급</t>
    <phoneticPr fontId="4" type="noConversion"/>
  </si>
  <si>
    <t>실수령액</t>
    <phoneticPr fontId="4" type="noConversion"/>
  </si>
  <si>
    <t>생년월일</t>
    <phoneticPr fontId="4" type="noConversion"/>
  </si>
  <si>
    <t>태어난 요일</t>
    <phoneticPr fontId="4" type="noConversion"/>
  </si>
  <si>
    <t>김민국</t>
    <phoneticPr fontId="4" type="noConversion"/>
  </si>
  <si>
    <t>사원</t>
    <phoneticPr fontId="4" type="noConversion"/>
  </si>
  <si>
    <t>영업부</t>
    <phoneticPr fontId="4" type="noConversion"/>
  </si>
  <si>
    <t>백사전</t>
    <phoneticPr fontId="4" type="noConversion"/>
  </si>
  <si>
    <t>윤정희</t>
    <phoneticPr fontId="4" type="noConversion"/>
  </si>
  <si>
    <t>과장</t>
    <phoneticPr fontId="4" type="noConversion"/>
  </si>
  <si>
    <t>자재부</t>
    <phoneticPr fontId="4" type="noConversion"/>
  </si>
  <si>
    <t>대자운</t>
    <phoneticPr fontId="4" type="noConversion"/>
  </si>
  <si>
    <t>유하은</t>
    <phoneticPr fontId="4" type="noConversion"/>
  </si>
  <si>
    <t>대리</t>
    <phoneticPr fontId="4" type="noConversion"/>
  </si>
  <si>
    <t>생산부</t>
    <phoneticPr fontId="4" type="noConversion"/>
  </si>
  <si>
    <t>정시감</t>
    <phoneticPr fontId="4" type="noConversion"/>
  </si>
  <si>
    <t>이사장</t>
    <phoneticPr fontId="4" type="noConversion"/>
  </si>
  <si>
    <t>신용기</t>
    <phoneticPr fontId="4" type="noConversion"/>
  </si>
  <si>
    <t>김민성</t>
    <phoneticPr fontId="4" type="noConversion"/>
  </si>
  <si>
    <t>감기철</t>
    <phoneticPr fontId="4" type="noConversion"/>
  </si>
  <si>
    <t>한지혜</t>
    <phoneticPr fontId="4" type="noConversion"/>
  </si>
  <si>
    <t>김치국</t>
    <phoneticPr fontId="4" type="noConversion"/>
  </si>
  <si>
    <t>한상민</t>
    <phoneticPr fontId="4" type="noConversion"/>
  </si>
  <si>
    <t>이대로</t>
    <phoneticPr fontId="4" type="noConversion"/>
  </si>
  <si>
    <t>최미르</t>
    <phoneticPr fontId="4" type="noConversion"/>
  </si>
  <si>
    <t>최한나</t>
    <phoneticPr fontId="4" type="noConversion"/>
  </si>
  <si>
    <t>정준영</t>
    <phoneticPr fontId="4" type="noConversion"/>
  </si>
  <si>
    <t>생산부 실수령액 평균</t>
    <phoneticPr fontId="4" type="noConversion"/>
  </si>
  <si>
    <t>[표5] 지역별 판매 현황</t>
    <phoneticPr fontId="4" type="noConversion"/>
  </si>
  <si>
    <t>지역</t>
    <phoneticPr fontId="4" type="noConversion"/>
  </si>
  <si>
    <t>컴퓨터</t>
    <phoneticPr fontId="4" type="noConversion"/>
  </si>
  <si>
    <t>경기</t>
    <phoneticPr fontId="4" type="noConversion"/>
  </si>
  <si>
    <t>스캐너</t>
    <phoneticPr fontId="4" type="noConversion"/>
  </si>
  <si>
    <t>프린터</t>
    <phoneticPr fontId="4" type="noConversion"/>
  </si>
  <si>
    <t>상공전자</t>
    <phoneticPr fontId="4" type="noConversion"/>
  </si>
  <si>
    <t>제일무역</t>
    <phoneticPr fontId="4" type="noConversion"/>
  </si>
  <si>
    <t>청우상사</t>
    <phoneticPr fontId="4" type="noConversion"/>
  </si>
  <si>
    <t>대한플러스</t>
    <phoneticPr fontId="4" type="noConversion"/>
  </si>
  <si>
    <t>합계</t>
    <phoneticPr fontId="4" type="noConversion"/>
  </si>
  <si>
    <t>서점명</t>
    <phoneticPr fontId="4" type="noConversion"/>
  </si>
  <si>
    <t>판매가</t>
    <phoneticPr fontId="4" type="noConversion"/>
  </si>
  <si>
    <t>판매량</t>
    <phoneticPr fontId="4" type="noConversion"/>
  </si>
  <si>
    <t>판매이익</t>
    <phoneticPr fontId="4" type="noConversion"/>
  </si>
  <si>
    <t>서울</t>
    <phoneticPr fontId="4" type="noConversion"/>
  </si>
  <si>
    <t>인천</t>
    <phoneticPr fontId="4" type="noConversion"/>
  </si>
  <si>
    <t>코드표</t>
    <phoneticPr fontId="1" type="noConversion"/>
  </si>
  <si>
    <t>[표4] 부서별 급여 현황</t>
    <phoneticPr fontId="4" type="noConversion"/>
  </si>
  <si>
    <t>업체명</t>
    <phoneticPr fontId="4" type="noConversion"/>
  </si>
  <si>
    <t>한국상사</t>
    <phoneticPr fontId="4" type="noConversion"/>
  </si>
  <si>
    <t>부품명</t>
    <phoneticPr fontId="1" type="noConversion"/>
  </si>
  <si>
    <t>거래일자</t>
    <phoneticPr fontId="4" type="noConversion"/>
  </si>
  <si>
    <t>부품 거래 현황</t>
    <phoneticPr fontId="4" type="noConversion"/>
  </si>
  <si>
    <t>단가</t>
    <phoneticPr fontId="4" type="noConversion"/>
  </si>
  <si>
    <t>수량</t>
    <phoneticPr fontId="4" type="noConversion"/>
  </si>
  <si>
    <t>결제금액</t>
    <phoneticPr fontId="1" type="noConversion"/>
  </si>
  <si>
    <t>할인율</t>
    <phoneticPr fontId="1" type="noConversion"/>
  </si>
  <si>
    <t>세금</t>
    <phoneticPr fontId="1" type="noConversion"/>
  </si>
  <si>
    <t>케이블</t>
    <phoneticPr fontId="1" type="noConversion"/>
  </si>
  <si>
    <t>유림전자</t>
    <phoneticPr fontId="4" type="noConversion"/>
  </si>
  <si>
    <t>건국전자</t>
    <phoneticPr fontId="1" type="noConversion"/>
  </si>
  <si>
    <t>반도체</t>
    <phoneticPr fontId="1" type="noConversion"/>
  </si>
  <si>
    <t>전원장치</t>
    <phoneticPr fontId="1" type="noConversion"/>
  </si>
  <si>
    <t>판매액</t>
    <phoneticPr fontId="4" type="noConversion"/>
  </si>
  <si>
    <t>MP3</t>
    <phoneticPr fontId="4" type="noConversion"/>
  </si>
  <si>
    <t>[표1] 전자제품별 판매 현황(1월)</t>
    <phoneticPr fontId="4" type="noConversion"/>
  </si>
  <si>
    <t>[표2] 전자제품별 판매 현황(2월)</t>
    <phoneticPr fontId="4" type="noConversion"/>
  </si>
  <si>
    <t>스팀다리미</t>
    <phoneticPr fontId="4" type="noConversion"/>
  </si>
  <si>
    <t>전자레인지</t>
    <phoneticPr fontId="4" type="noConversion"/>
  </si>
  <si>
    <t>미니튀김기</t>
    <phoneticPr fontId="4" type="noConversion"/>
  </si>
  <si>
    <t>전자면도기</t>
    <phoneticPr fontId="4" type="noConversion"/>
  </si>
  <si>
    <t>[표3] 전자제품별 판매 현황(3월)</t>
    <phoneticPr fontId="4" type="noConversion"/>
  </si>
  <si>
    <t>상공 통신 요금 청구 내역</t>
    <phoneticPr fontId="4" type="noConversion"/>
  </si>
  <si>
    <t>1월</t>
    <phoneticPr fontId="4" type="noConversion"/>
  </si>
  <si>
    <t>2월</t>
    <phoneticPr fontId="1" type="noConversion"/>
  </si>
  <si>
    <t>3월</t>
    <phoneticPr fontId="1" type="noConversion"/>
  </si>
  <si>
    <t>상공서적</t>
    <phoneticPr fontId="4" type="noConversion"/>
  </si>
  <si>
    <t>길벗문고</t>
    <phoneticPr fontId="1" type="noConversion"/>
  </si>
  <si>
    <t>대한문고</t>
    <phoneticPr fontId="1" type="noConversion"/>
  </si>
  <si>
    <t>경기서적</t>
    <phoneticPr fontId="1" type="noConversion"/>
  </si>
  <si>
    <t>영광문고</t>
    <phoneticPr fontId="1" type="noConversion"/>
  </si>
  <si>
    <t>서울서적</t>
    <phoneticPr fontId="1" type="noConversion"/>
  </si>
  <si>
    <t>서점별 1/4분기 도서 매출 현황</t>
    <phoneticPr fontId="4" type="noConversion"/>
  </si>
  <si>
    <t>가나다 동물병원 고객 현황</t>
    <phoneticPr fontId="4" type="noConversion"/>
  </si>
  <si>
    <t>경기지역 판매이익 평균</t>
    <phoneticPr fontId="4" type="noConversion"/>
  </si>
  <si>
    <t>전자제품별 판매 현황(1/4분기)</t>
    <phoneticPr fontId="4" type="noConversion"/>
  </si>
  <si>
    <t>등록코드</t>
    <phoneticPr fontId="1" type="noConversion"/>
  </si>
  <si>
    <t>애완견종류</t>
    <phoneticPr fontId="1" type="noConversion"/>
  </si>
  <si>
    <t>고객명</t>
    <phoneticPr fontId="1" type="noConversion"/>
  </si>
  <si>
    <t>기간</t>
    <phoneticPr fontId="1" type="noConversion"/>
  </si>
  <si>
    <t>전화번호</t>
    <phoneticPr fontId="1" type="noConversion"/>
  </si>
  <si>
    <t>방문일자</t>
    <phoneticPr fontId="1" type="noConversion"/>
  </si>
  <si>
    <t>구입가격</t>
    <phoneticPr fontId="1" type="noConversion"/>
  </si>
  <si>
    <t>K-P#01</t>
    <phoneticPr fontId="1" type="noConversion"/>
  </si>
  <si>
    <t>풍산견</t>
    <phoneticPr fontId="1" type="noConversion"/>
  </si>
  <si>
    <t>황미영</t>
    <phoneticPr fontId="1" type="noConversion"/>
  </si>
  <si>
    <t>10년 6개월</t>
    <phoneticPr fontId="1" type="noConversion"/>
  </si>
  <si>
    <t>(02)2237-0090</t>
    <phoneticPr fontId="1" type="noConversion"/>
  </si>
  <si>
    <t>E-Pk11</t>
    <phoneticPr fontId="4" type="noConversion"/>
  </si>
  <si>
    <t>Pekingese</t>
    <phoneticPr fontId="4" type="noConversion"/>
  </si>
  <si>
    <t>조예슬</t>
    <phoneticPr fontId="4" type="noConversion"/>
  </si>
  <si>
    <t>2년 7개월</t>
    <phoneticPr fontId="4" type="noConversion"/>
  </si>
  <si>
    <t>(041)3456-9087</t>
    <phoneticPr fontId="4" type="noConversion"/>
  </si>
  <si>
    <t>E-Pw02</t>
    <phoneticPr fontId="4" type="noConversion"/>
  </si>
  <si>
    <t>빠삐용</t>
    <phoneticPr fontId="4" type="noConversion"/>
  </si>
  <si>
    <t>정미화</t>
    <phoneticPr fontId="4" type="noConversion"/>
  </si>
  <si>
    <t>3년</t>
    <phoneticPr fontId="4" type="noConversion"/>
  </si>
  <si>
    <t>(02)456-7765</t>
    <phoneticPr fontId="4" type="noConversion"/>
  </si>
  <si>
    <t>A-AH21</t>
    <phoneticPr fontId="4" type="noConversion"/>
  </si>
  <si>
    <t>Afgan Hound</t>
    <phoneticPr fontId="4" type="noConversion"/>
  </si>
  <si>
    <t>이경신</t>
    <phoneticPr fontId="4" type="noConversion"/>
  </si>
  <si>
    <t>5개월</t>
    <phoneticPr fontId="4" type="noConversion"/>
  </si>
  <si>
    <t>(031)2341-4532</t>
    <phoneticPr fontId="4" type="noConversion"/>
  </si>
  <si>
    <t>R-DS23</t>
    <phoneticPr fontId="4" type="noConversion"/>
  </si>
  <si>
    <t>달마시안</t>
    <phoneticPr fontId="4" type="noConversion"/>
  </si>
  <si>
    <t>이현경</t>
    <phoneticPr fontId="4" type="noConversion"/>
  </si>
  <si>
    <t>5년 3개월</t>
    <phoneticPr fontId="4" type="noConversion"/>
  </si>
  <si>
    <t>(051)332-7823</t>
    <phoneticPr fontId="4" type="noConversion"/>
  </si>
  <si>
    <t>E-B331</t>
    <phoneticPr fontId="4" type="noConversion"/>
  </si>
  <si>
    <t>Boxer</t>
    <phoneticPr fontId="4" type="noConversion"/>
  </si>
  <si>
    <t>백경선</t>
    <phoneticPr fontId="4" type="noConversion"/>
  </si>
  <si>
    <t>(02)2134-6654</t>
    <phoneticPr fontId="4" type="noConversion"/>
  </si>
  <si>
    <t>업체명</t>
  </si>
  <si>
    <t>(모두)</t>
  </si>
  <si>
    <t>반도체</t>
  </si>
  <si>
    <t>전원장치</t>
  </si>
  <si>
    <t>케이블</t>
  </si>
  <si>
    <t>총합계</t>
  </si>
  <si>
    <t>3월</t>
  </si>
  <si>
    <t>4월</t>
  </si>
  <si>
    <t>합계 : 수량</t>
  </si>
  <si>
    <t>전체 합계 : 수량</t>
  </si>
  <si>
    <t>전체 합계 : 결제금액</t>
  </si>
  <si>
    <t>합계 : 결제금액</t>
  </si>
  <si>
    <t>월</t>
  </si>
  <si>
    <t>거래일자</t>
  </si>
  <si>
    <t>값</t>
  </si>
  <si>
    <t>부품명</t>
  </si>
  <si>
    <t>상반기 피자 판매 현황</t>
  </si>
  <si>
    <t>제품명</t>
  </si>
  <si>
    <t>계획수량</t>
  </si>
  <si>
    <t>판매수량</t>
  </si>
  <si>
    <t>판매단가</t>
  </si>
  <si>
    <t>매출금액</t>
  </si>
  <si>
    <t>달성률</t>
  </si>
  <si>
    <t>포테이토</t>
  </si>
  <si>
    <t>치킨</t>
  </si>
  <si>
    <t>불고기</t>
  </si>
  <si>
    <t>엘파소</t>
  </si>
  <si>
    <t>베제테리안</t>
  </si>
  <si>
    <t>스위티</t>
  </si>
  <si>
    <t>평균</t>
  </si>
  <si>
    <t>2024년 핸드폰 사용 요금 내역</t>
    <phoneticPr fontId="4" type="noConversion"/>
  </si>
  <si>
    <t>2022년</t>
    <phoneticPr fontId="4" type="noConversion"/>
  </si>
  <si>
    <t>2024년</t>
    <phoneticPr fontId="4" type="noConversion"/>
  </si>
  <si>
    <t>2023년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</si>
</sst>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%"/>
    <numFmt numFmtId="178" formatCode="#,##0,&quot;천원&quot;"/>
    <numFmt numFmtId="179" formatCode="0.00_ "/>
  </numFmts>
  <fonts count="14"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</font>
    <font>
      <sz val="18"/>
      <name val="맑은 고딕"/>
      <family val="3"/>
      <charset val="129"/>
    </font>
    <font>
      <sz val="11"/>
      <color theme="1"/>
      <name val="맑은 고딕"/>
      <family val="2"/>
      <charset val="129"/>
    </font>
    <font>
      <b/>
      <sz val="11"/>
      <color rgb="FF0070C0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u val="double"/>
      <sz val="15"/>
      <color theme="1"/>
      <name val="궁서체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8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7" fillId="0" borderId="0"/>
    <xf numFmtId="0" fontId="7" fillId="0" borderId="0"/>
    <xf numFmtId="41" fontId="10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41" fontId="3" fillId="0" borderId="1" xfId="3" applyFont="1" applyFill="1" applyBorder="1" applyAlignment="1">
      <alignment horizontal="center" vertical="center"/>
    </xf>
    <xf numFmtId="0" fontId="5" fillId="0" borderId="0" xfId="1" applyFont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41" fontId="3" fillId="0" borderId="1" xfId="3" applyFont="1" applyBorder="1" applyAlignment="1">
      <alignment horizontal="center" vertical="center"/>
    </xf>
    <xf numFmtId="177" fontId="3" fillId="0" borderId="1" xfId="2" applyNumberFormat="1" applyFont="1" applyBorder="1" applyAlignment="1">
      <alignment horizontal="center" vertical="center"/>
    </xf>
    <xf numFmtId="41" fontId="6" fillId="0" borderId="1" xfId="3" applyFont="1" applyFill="1" applyBorder="1" applyAlignment="1">
      <alignment horizontal="right" vertical="center"/>
    </xf>
    <xf numFmtId="0" fontId="3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left" vertical="center"/>
    </xf>
    <xf numFmtId="0" fontId="6" fillId="0" borderId="1" xfId="5" applyFont="1" applyBorder="1" applyAlignment="1">
      <alignment horizontal="center" vertical="center"/>
    </xf>
    <xf numFmtId="0" fontId="6" fillId="0" borderId="1" xfId="6" applyFont="1" applyBorder="1" applyAlignment="1">
      <alignment horizontal="center" vertical="center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  <xf numFmtId="0" fontId="3" fillId="0" borderId="8" xfId="1" applyFont="1" applyBorder="1" applyAlignment="1">
      <alignment horizontal="center" vertical="center"/>
    </xf>
    <xf numFmtId="41" fontId="3" fillId="0" borderId="1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1" fontId="3" fillId="0" borderId="0" xfId="3" applyFont="1" applyBorder="1" applyAlignment="1">
      <alignment horizontal="center" vertical="center"/>
    </xf>
    <xf numFmtId="177" fontId="3" fillId="0" borderId="0" xfId="2" applyNumberFormat="1" applyFont="1" applyBorder="1" applyAlignment="1">
      <alignment horizontal="center" vertical="center"/>
    </xf>
    <xf numFmtId="14" fontId="3" fillId="0" borderId="1" xfId="3" applyNumberFormat="1" applyFont="1" applyBorder="1" applyAlignment="1">
      <alignment horizontal="center" vertical="center"/>
    </xf>
    <xf numFmtId="9" fontId="6" fillId="0" borderId="1" xfId="3" applyNumberFormat="1" applyFont="1" applyFill="1" applyBorder="1" applyAlignment="1">
      <alignment horizontal="right" vertical="center"/>
    </xf>
    <xf numFmtId="0" fontId="3" fillId="0" borderId="11" xfId="1" applyFont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41" fontId="3" fillId="0" borderId="1" xfId="1" applyNumberFormat="1" applyFont="1" applyBorder="1" applyAlignment="1">
      <alignment vertical="center"/>
    </xf>
    <xf numFmtId="0" fontId="0" fillId="0" borderId="0" xfId="0" pivotButton="1">
      <alignment vertical="center"/>
    </xf>
    <xf numFmtId="41" fontId="3" fillId="0" borderId="7" xfId="1" applyNumberFormat="1" applyFont="1" applyBorder="1" applyAlignment="1">
      <alignment vertical="center"/>
    </xf>
    <xf numFmtId="41" fontId="3" fillId="0" borderId="9" xfId="1" applyNumberFormat="1" applyFont="1" applyBorder="1" applyAlignment="1">
      <alignment vertical="center"/>
    </xf>
    <xf numFmtId="41" fontId="3" fillId="0" borderId="10" xfId="1" applyNumberFormat="1" applyFont="1" applyBorder="1" applyAlignment="1">
      <alignment vertical="center"/>
    </xf>
    <xf numFmtId="0" fontId="0" fillId="0" borderId="17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7" applyFont="1" applyBorder="1">
      <alignment vertical="center"/>
    </xf>
    <xf numFmtId="42" fontId="0" fillId="0" borderId="1" xfId="0" applyNumberForma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11" fillId="3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0" borderId="2" xfId="7" applyNumberFormat="1" applyFont="1" applyBorder="1" applyAlignment="1">
      <alignment horizontal="center" vertical="center"/>
    </xf>
    <xf numFmtId="0" fontId="3" fillId="0" borderId="4" xfId="7" applyNumberFormat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14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5" xfId="1" applyFont="1" applyBorder="1" applyAlignment="1">
      <alignment horizontal="center" vertical="center"/>
    </xf>
  </cellXfs>
  <cellStyles count="8">
    <cellStyle name="백분율 2" xfId="2" xr:uid="{00000000-0005-0000-0000-000000000000}"/>
    <cellStyle name="쉼표 [0]" xfId="7" builtinId="6"/>
    <cellStyle name="쉼표 [0] 2" xfId="3" xr:uid="{00000000-0005-0000-0000-000002000000}"/>
    <cellStyle name="통화 [0] 2" xfId="4" xr:uid="{00000000-0005-0000-0000-000003000000}"/>
    <cellStyle name="표준" xfId="0" builtinId="0"/>
    <cellStyle name="표준 2" xfId="1" xr:uid="{00000000-0005-0000-0000-000005000000}"/>
    <cellStyle name="표준_Sheet3" xfId="6" xr:uid="{00000000-0005-0000-0000-000006000000}"/>
    <cellStyle name="표준_건물임대" xfId="5" xr:uid="{00000000-0005-0000-0000-000007000000}"/>
  </cellStyles>
  <dxfs count="1">
    <dxf>
      <font>
        <b val="0"/>
        <i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 u="sng"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en-US" altLang="ko-KR" sz="1500" u="sng">
                <a:latin typeface="궁서체" panose="02030609000101010101" pitchFamily="17" charset="-127"/>
                <a:ea typeface="궁서체" panose="02030609000101010101" pitchFamily="17" charset="-127"/>
              </a:rPr>
              <a:t>1/4</a:t>
            </a:r>
            <a:r>
              <a:rPr lang="ko-KR" altLang="en-US" sz="1500" u="sng">
                <a:latin typeface="궁서체" panose="02030609000101010101" pitchFamily="17" charset="-127"/>
                <a:ea typeface="궁서체" panose="02030609000101010101" pitchFamily="17" charset="-127"/>
              </a:rPr>
              <a:t>분기 도서 매출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차트작업!$A$3</c:f>
              <c:strCache>
                <c:ptCount val="1"/>
                <c:pt idx="0">
                  <c:v>상공서적</c:v>
                </c:pt>
              </c:strCache>
            </c:strRef>
          </c:tx>
          <c:invertIfNegative val="0"/>
          <c:cat>
            <c:strRef>
              <c:f>차트작업!$B$2:$D$2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차트작업!$B$3:$D$3</c:f>
              <c:numCache>
                <c:formatCode>_(* #,##0_);_(* \(#,##0\);_(* "-"_);_(@_)</c:formatCode>
                <c:ptCount val="3"/>
                <c:pt idx="0">
                  <c:v>631000</c:v>
                </c:pt>
                <c:pt idx="1">
                  <c:v>876000</c:v>
                </c:pt>
                <c:pt idx="2">
                  <c:v>936000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A-4150-8865-4BFFE315D3BB}"/>
            </c:ext>
          </c:extLst>
        </c:ser>
        <c:ser>
          <c:idx val="2"/>
          <c:order val="2"/>
          <c:tx>
            <c:strRef>
              <c:f>차트작업!$A$8</c:f>
              <c:strCache>
                <c:ptCount val="1"/>
                <c:pt idx="0">
                  <c:v>서울서적</c:v>
                </c:pt>
              </c:strCache>
            </c:strRef>
          </c:tx>
          <c:invertIfNegative val="0"/>
          <c:cat>
            <c:strRef>
              <c:f>차트작업!$B$2:$D$2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차트작업!$B$8:$D$8</c:f>
              <c:numCache>
                <c:formatCode>_(* #,##0_);_(* \(#,##0\);_(* "-"_);_(@_)</c:formatCode>
                <c:ptCount val="3"/>
                <c:pt idx="0">
                  <c:v>1125000</c:v>
                </c:pt>
                <c:pt idx="1">
                  <c:v>987000</c:v>
                </c:pt>
                <c:pt idx="2">
                  <c:v>848000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EA-4E26-A955-5EEE71208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85920"/>
        <c:axId val="111187456"/>
      </c:barChart>
      <c:lineChart>
        <c:grouping val="standard"/>
        <c:varyColors val="0"/>
        <c:ser>
          <c:idx val="1"/>
          <c:order val="1"/>
          <c:tx>
            <c:strRef>
              <c:f>차트작업!$A$6</c:f>
              <c:strCache>
                <c:ptCount val="1"/>
                <c:pt idx="0">
                  <c:v>경기서적</c:v>
                </c:pt>
              </c:strCache>
            </c:strRef>
          </c:tx>
          <c:cat>
            <c:strRef>
              <c:f>차트작업!$B$2:$D$2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차트작업!$B$6:$D$6</c:f>
              <c:numCache>
                <c:formatCode>_(* #,##0_);_(* \(#,##0\);_(* "-"_);_(@_)</c:formatCode>
                <c:ptCount val="3"/>
                <c:pt idx="0">
                  <c:v>1234000</c:v>
                </c:pt>
                <c:pt idx="1">
                  <c:v>885000</c:v>
                </c:pt>
                <c:pt idx="2">
                  <c:v>1058900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150-8865-4BFFE315D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1839"/>
        <c:axId val="64681007"/>
      </c:lineChart>
      <c:catAx>
        <c:axId val="111185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1/4</a:t>
                </a:r>
                <a:r>
                  <a:rPr lang="ko-KR" altLang="en-US"/>
                  <a:t>분기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187456"/>
        <c:crosses val="autoZero"/>
        <c:auto val="1"/>
        <c:lblAlgn val="ctr"/>
        <c:lblOffset val="100"/>
        <c:noMultiLvlLbl val="0"/>
      </c:catAx>
      <c:valAx>
        <c:axId val="1111874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</a:p>
            </c:rich>
          </c:tx>
          <c:overlay val="0"/>
        </c:title>
        <c:numFmt formatCode="_(* #,##0_);_(* \(#,##0\);_(* &quot;-&quot;_);_(@_)" sourceLinked="1"/>
        <c:majorTickMark val="out"/>
        <c:minorTickMark val="none"/>
        <c:tickLblPos val="nextTo"/>
        <c:crossAx val="111185920"/>
        <c:crosses val="autoZero"/>
        <c:crossBetween val="between"/>
      </c:valAx>
      <c:valAx>
        <c:axId val="64681007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64681839"/>
        <c:crosses val="max"/>
        <c:crossBetween val="between"/>
      </c:valAx>
      <c:catAx>
        <c:axId val="646818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681007"/>
        <c:crosses val="autoZero"/>
        <c:auto val="1"/>
        <c:lblAlgn val="ctr"/>
        <c:lblOffset val="100"/>
        <c:noMultiLvlLbl val="0"/>
      </c:catAx>
    </c:plotArea>
    <c:legend>
      <c:legendPos val="t"/>
      <c:overlay val="0"/>
      <c:txPr>
        <a:bodyPr/>
        <a:lstStyle/>
        <a:p>
          <a:pPr>
            <a:defRPr sz="1100">
              <a:latin typeface="궁서체" panose="02030609000101010101" pitchFamily="17" charset="-127"/>
              <a:ea typeface="궁서체" panose="02030609000101010101" pitchFamily="17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5</xdr:row>
      <xdr:rowOff>0</xdr:rowOff>
    </xdr:to>
    <xdr:sp macro="[0]!통화" textlink="">
      <xdr:nvSpPr>
        <xdr:cNvPr id="4" name="다이아몬드 1">
          <a:extLst>
            <a:ext uri="{FF2B5EF4-FFF2-40B4-BE49-F238E27FC236}">
              <a16:creationId xmlns:a16="http://schemas.microsoft.com/office/drawing/2014/main" id="{3084276B-8B59-4187-2CC8-BFB5CEEFD5FC}"/>
            </a:ext>
          </a:extLst>
        </xdr:cNvPr>
        <xdr:cNvSpPr/>
      </xdr:nvSpPr>
      <xdr:spPr>
        <a:xfrm>
          <a:off x="6457950" y="542925"/>
          <a:ext cx="1371600" cy="628650"/>
        </a:xfrm>
        <a:prstGeom prst="diamon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통화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[0]!달성률" textlink="">
      <xdr:nvSpPr>
        <xdr:cNvPr id="5" name="배지 1">
          <a:extLst>
            <a:ext uri="{FF2B5EF4-FFF2-40B4-BE49-F238E27FC236}">
              <a16:creationId xmlns:a16="http://schemas.microsoft.com/office/drawing/2014/main" id="{C44B22D2-C41D-3F08-E49D-0617AC162A50}"/>
            </a:ext>
          </a:extLst>
        </xdr:cNvPr>
        <xdr:cNvSpPr/>
      </xdr:nvSpPr>
      <xdr:spPr>
        <a:xfrm>
          <a:off x="6457950" y="1381125"/>
          <a:ext cx="1371600" cy="419100"/>
        </a:xfrm>
        <a:prstGeom prst="plaqu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달성률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평균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6019800" y="0"/>
          <a:ext cx="685800" cy="0"/>
        </a:xfrm>
        <a:prstGeom prst="beve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서식" textlink="">
      <xdr:nvSpPr>
        <xdr:cNvPr id="3" name="AutoShape 4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6162675" y="0"/>
          <a:ext cx="390525" cy="0"/>
        </a:xfrm>
        <a:prstGeom prst="smileyFace">
          <a:avLst>
            <a:gd name="adj" fmla="val 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</xdr:colOff>
      <xdr:row>10</xdr:row>
      <xdr:rowOff>0</xdr:rowOff>
    </xdr:from>
    <xdr:to>
      <xdr:col>5</xdr:col>
      <xdr:colOff>0</xdr:colOff>
      <xdr:row>26</xdr:row>
      <xdr:rowOff>0</xdr:rowOff>
    </xdr:to>
    <xdr:graphicFrame macro="">
      <xdr:nvGraphicFramePr>
        <xdr:cNvPr id="5" name="차트 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준현" refreshedDate="44471.243993865741" createdVersion="6" refreshedVersion="6" minRefreshableVersion="3" recordCount="8" xr:uid="{00000000-000A-0000-FFFF-FFFF01000000}">
  <cacheSource type="worksheet">
    <worksheetSource ref="A3:H11" sheet="분석작업-1"/>
  </cacheSource>
  <cacheFields count="9">
    <cacheField name="부품명" numFmtId="0">
      <sharedItems count="3">
        <s v="케이블"/>
        <s v="반도체"/>
        <s v="전원장치"/>
      </sharedItems>
    </cacheField>
    <cacheField name="업체명" numFmtId="0">
      <sharedItems count="7">
        <s v="상공전자"/>
        <s v="제일무역"/>
        <s v="건국전자"/>
        <s v="청우상사"/>
        <s v="대한플러스"/>
        <s v="한국상사"/>
        <s v="유림전자"/>
      </sharedItems>
    </cacheField>
    <cacheField name="거래일자" numFmtId="14">
      <sharedItems containsSemiMixedTypes="0" containsNonDate="0" containsDate="1" containsString="0" minDate="2022-03-15T00:00:00" maxDate="2022-04-02T00:00:00" count="3">
        <d v="2022-03-15T00:00:00"/>
        <d v="2022-03-30T00:00:00"/>
        <d v="2022-04-01T00:00:00"/>
      </sharedItems>
      <fieldGroup par="8" base="2">
        <rangePr groupBy="days" startDate="2022-03-15T00:00:00" endDate="2022-04-02T00:00:00"/>
        <groupItems count="368">
          <s v="&lt;2022-03-15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2-04-02"/>
        </groupItems>
      </fieldGroup>
    </cacheField>
    <cacheField name="단가" numFmtId="41">
      <sharedItems containsSemiMixedTypes="0" containsString="0" containsNumber="1" containsInteger="1" minValue="990" maxValue="1200"/>
    </cacheField>
    <cacheField name="수량" numFmtId="41">
      <sharedItems containsSemiMixedTypes="0" containsString="0" containsNumber="1" containsInteger="1" minValue="480" maxValue="650"/>
    </cacheField>
    <cacheField name="할인율" numFmtId="9">
      <sharedItems containsSemiMixedTypes="0" containsString="0" containsNumber="1" minValue="7.0000000000000007E-2" maxValue="0.09"/>
    </cacheField>
    <cacheField name="세금" numFmtId="9">
      <sharedItems containsSemiMixedTypes="0" containsString="0" containsNumber="1" minValue="0.1" maxValue="0.1"/>
    </cacheField>
    <cacheField name="결제금액" numFmtId="41">
      <sharedItems containsSemiMixedTypes="0" containsString="0" containsNumber="1" containsInteger="1" minValue="388800" maxValue="639600"/>
    </cacheField>
    <cacheField name="월" numFmtId="0" databaseField="0">
      <fieldGroup base="2">
        <rangePr groupBy="months" startDate="2022-03-15T00:00:00" endDate="2022-04-02T00:00:00"/>
        <groupItems count="14">
          <s v="&lt;2022-03-1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2-04-0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x v="0"/>
    <n v="1000"/>
    <n v="500"/>
    <n v="0.09"/>
    <n v="0.1"/>
    <n v="405000"/>
  </r>
  <r>
    <x v="1"/>
    <x v="1"/>
    <x v="0"/>
    <n v="1200"/>
    <n v="650"/>
    <n v="0.08"/>
    <n v="0.1"/>
    <n v="639600"/>
  </r>
  <r>
    <x v="2"/>
    <x v="2"/>
    <x v="0"/>
    <n v="990"/>
    <n v="580"/>
    <n v="7.0000000000000007E-2"/>
    <n v="0.1"/>
    <n v="476586"/>
  </r>
  <r>
    <x v="0"/>
    <x v="3"/>
    <x v="1"/>
    <n v="1000"/>
    <n v="550"/>
    <n v="0.09"/>
    <n v="0.1"/>
    <n v="445500"/>
  </r>
  <r>
    <x v="1"/>
    <x v="1"/>
    <x v="1"/>
    <n v="1200"/>
    <n v="600"/>
    <n v="0.08"/>
    <n v="0.1"/>
    <n v="590400"/>
  </r>
  <r>
    <x v="2"/>
    <x v="4"/>
    <x v="1"/>
    <n v="990"/>
    <n v="550"/>
    <n v="7.0000000000000007E-2"/>
    <n v="0.1"/>
    <n v="451935"/>
  </r>
  <r>
    <x v="1"/>
    <x v="5"/>
    <x v="2"/>
    <n v="1200"/>
    <n v="600"/>
    <n v="0.08"/>
    <n v="0.1"/>
    <n v="590400"/>
  </r>
  <r>
    <x v="0"/>
    <x v="6"/>
    <x v="2"/>
    <n v="1000"/>
    <n v="480"/>
    <n v="0.09"/>
    <n v="0.1"/>
    <n v="388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8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A15:G22" firstHeaderRow="1" firstDataRow="4" firstDataCol="1" rowPageCount="1" colPageCount="1"/>
  <pivotFields count="9">
    <pivotField axis="axisRow" compact="0" showAll="0">
      <items count="4">
        <item x="1"/>
        <item x="2"/>
        <item x="0"/>
        <item t="default"/>
      </items>
    </pivotField>
    <pivotField axis="axisPage" compact="0" showAll="0">
      <items count="8">
        <item x="2"/>
        <item x="4"/>
        <item x="0"/>
        <item x="6"/>
        <item x="1"/>
        <item x="3"/>
        <item x="5"/>
        <item t="default"/>
      </items>
    </pivotField>
    <pivotField axis="axisCol" compact="0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compact="0" numFmtId="41" showAll="0"/>
    <pivotField dataField="1" compact="0" numFmtId="41" showAll="0"/>
    <pivotField compact="0" numFmtId="9" showAll="0"/>
    <pivotField compact="0" numFmtId="9" showAll="0"/>
    <pivotField dataField="1" compact="0" numFmtId="41" showAll="0"/>
    <pivotField axis="axisCol" compact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3">
    <field x="8"/>
    <field x="2"/>
    <field x="-2"/>
  </colFields>
  <colItems count="6">
    <i>
      <x v="3"/>
      <x v="1048832"/>
      <x/>
    </i>
    <i r="2" i="1">
      <x v="1"/>
    </i>
    <i>
      <x v="4"/>
      <x v="1048832"/>
      <x/>
    </i>
    <i r="2" i="1">
      <x v="1"/>
    </i>
    <i t="grand">
      <x/>
    </i>
    <i t="grand" i="1">
      <x/>
    </i>
  </colItems>
  <pageFields count="1">
    <pageField fld="1" hier="-1"/>
  </pageFields>
  <dataFields count="2">
    <dataField name="합계 : 수량" fld="4" baseField="0" baseItem="0"/>
    <dataField name="합계 : 결제금액" fld="7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9"/>
  <sheetViews>
    <sheetView tabSelected="1" workbookViewId="0"/>
  </sheetViews>
  <sheetFormatPr defaultRowHeight="16.5"/>
  <cols>
    <col min="1" max="1" width="11" style="1" customWidth="1"/>
    <col min="2" max="2" width="13.5" style="1" bestFit="1" customWidth="1"/>
    <col min="3" max="3" width="9" style="1" customWidth="1"/>
    <col min="4" max="4" width="11.375" style="1" bestFit="1" customWidth="1"/>
    <col min="5" max="5" width="15.875" style="1" bestFit="1" customWidth="1"/>
    <col min="6" max="6" width="13.25" style="1" customWidth="1"/>
    <col min="7" max="7" width="12.875" style="1" bestFit="1" customWidth="1"/>
    <col min="8" max="256" width="9" style="1"/>
    <col min="257" max="257" width="11" style="1" customWidth="1"/>
    <col min="258" max="258" width="11.875" style="1" customWidth="1"/>
    <col min="259" max="259" width="9.375" style="1" customWidth="1"/>
    <col min="260" max="260" width="11.375" style="1" bestFit="1" customWidth="1"/>
    <col min="261" max="261" width="15.875" style="1" bestFit="1" customWidth="1"/>
    <col min="262" max="262" width="13.25" style="1" customWidth="1"/>
    <col min="263" max="263" width="12.875" style="1" bestFit="1" customWidth="1"/>
    <col min="264" max="512" width="9" style="1"/>
    <col min="513" max="513" width="11" style="1" customWidth="1"/>
    <col min="514" max="514" width="11.875" style="1" customWidth="1"/>
    <col min="515" max="515" width="9.375" style="1" customWidth="1"/>
    <col min="516" max="516" width="11.375" style="1" bestFit="1" customWidth="1"/>
    <col min="517" max="517" width="15.875" style="1" bestFit="1" customWidth="1"/>
    <col min="518" max="518" width="13.25" style="1" customWidth="1"/>
    <col min="519" max="519" width="12.875" style="1" bestFit="1" customWidth="1"/>
    <col min="520" max="768" width="9" style="1"/>
    <col min="769" max="769" width="11" style="1" customWidth="1"/>
    <col min="770" max="770" width="11.875" style="1" customWidth="1"/>
    <col min="771" max="771" width="9.375" style="1" customWidth="1"/>
    <col min="772" max="772" width="11.375" style="1" bestFit="1" customWidth="1"/>
    <col min="773" max="773" width="15.875" style="1" bestFit="1" customWidth="1"/>
    <col min="774" max="774" width="13.25" style="1" customWidth="1"/>
    <col min="775" max="775" width="12.875" style="1" bestFit="1" customWidth="1"/>
    <col min="776" max="1024" width="9" style="1"/>
    <col min="1025" max="1025" width="11" style="1" customWidth="1"/>
    <col min="1026" max="1026" width="11.875" style="1" customWidth="1"/>
    <col min="1027" max="1027" width="9.375" style="1" customWidth="1"/>
    <col min="1028" max="1028" width="11.375" style="1" bestFit="1" customWidth="1"/>
    <col min="1029" max="1029" width="15.875" style="1" bestFit="1" customWidth="1"/>
    <col min="1030" max="1030" width="13.25" style="1" customWidth="1"/>
    <col min="1031" max="1031" width="12.875" style="1" bestFit="1" customWidth="1"/>
    <col min="1032" max="1280" width="9" style="1"/>
    <col min="1281" max="1281" width="11" style="1" customWidth="1"/>
    <col min="1282" max="1282" width="11.875" style="1" customWidth="1"/>
    <col min="1283" max="1283" width="9.375" style="1" customWidth="1"/>
    <col min="1284" max="1284" width="11.375" style="1" bestFit="1" customWidth="1"/>
    <col min="1285" max="1285" width="15.875" style="1" bestFit="1" customWidth="1"/>
    <col min="1286" max="1286" width="13.25" style="1" customWidth="1"/>
    <col min="1287" max="1287" width="12.875" style="1" bestFit="1" customWidth="1"/>
    <col min="1288" max="1536" width="9" style="1"/>
    <col min="1537" max="1537" width="11" style="1" customWidth="1"/>
    <col min="1538" max="1538" width="11.875" style="1" customWidth="1"/>
    <col min="1539" max="1539" width="9.375" style="1" customWidth="1"/>
    <col min="1540" max="1540" width="11.375" style="1" bestFit="1" customWidth="1"/>
    <col min="1541" max="1541" width="15.875" style="1" bestFit="1" customWidth="1"/>
    <col min="1542" max="1542" width="13.25" style="1" customWidth="1"/>
    <col min="1543" max="1543" width="12.875" style="1" bestFit="1" customWidth="1"/>
    <col min="1544" max="1792" width="9" style="1"/>
    <col min="1793" max="1793" width="11" style="1" customWidth="1"/>
    <col min="1794" max="1794" width="11.875" style="1" customWidth="1"/>
    <col min="1795" max="1795" width="9.375" style="1" customWidth="1"/>
    <col min="1796" max="1796" width="11.375" style="1" bestFit="1" customWidth="1"/>
    <col min="1797" max="1797" width="15.875" style="1" bestFit="1" customWidth="1"/>
    <col min="1798" max="1798" width="13.25" style="1" customWidth="1"/>
    <col min="1799" max="1799" width="12.875" style="1" bestFit="1" customWidth="1"/>
    <col min="1800" max="2048" width="9" style="1"/>
    <col min="2049" max="2049" width="11" style="1" customWidth="1"/>
    <col min="2050" max="2050" width="11.875" style="1" customWidth="1"/>
    <col min="2051" max="2051" width="9.375" style="1" customWidth="1"/>
    <col min="2052" max="2052" width="11.375" style="1" bestFit="1" customWidth="1"/>
    <col min="2053" max="2053" width="15.875" style="1" bestFit="1" customWidth="1"/>
    <col min="2054" max="2054" width="13.25" style="1" customWidth="1"/>
    <col min="2055" max="2055" width="12.875" style="1" bestFit="1" customWidth="1"/>
    <col min="2056" max="2304" width="9" style="1"/>
    <col min="2305" max="2305" width="11" style="1" customWidth="1"/>
    <col min="2306" max="2306" width="11.875" style="1" customWidth="1"/>
    <col min="2307" max="2307" width="9.375" style="1" customWidth="1"/>
    <col min="2308" max="2308" width="11.375" style="1" bestFit="1" customWidth="1"/>
    <col min="2309" max="2309" width="15.875" style="1" bestFit="1" customWidth="1"/>
    <col min="2310" max="2310" width="13.25" style="1" customWidth="1"/>
    <col min="2311" max="2311" width="12.875" style="1" bestFit="1" customWidth="1"/>
    <col min="2312" max="2560" width="9" style="1"/>
    <col min="2561" max="2561" width="11" style="1" customWidth="1"/>
    <col min="2562" max="2562" width="11.875" style="1" customWidth="1"/>
    <col min="2563" max="2563" width="9.375" style="1" customWidth="1"/>
    <col min="2564" max="2564" width="11.375" style="1" bestFit="1" customWidth="1"/>
    <col min="2565" max="2565" width="15.875" style="1" bestFit="1" customWidth="1"/>
    <col min="2566" max="2566" width="13.25" style="1" customWidth="1"/>
    <col min="2567" max="2567" width="12.875" style="1" bestFit="1" customWidth="1"/>
    <col min="2568" max="2816" width="9" style="1"/>
    <col min="2817" max="2817" width="11" style="1" customWidth="1"/>
    <col min="2818" max="2818" width="11.875" style="1" customWidth="1"/>
    <col min="2819" max="2819" width="9.375" style="1" customWidth="1"/>
    <col min="2820" max="2820" width="11.375" style="1" bestFit="1" customWidth="1"/>
    <col min="2821" max="2821" width="15.875" style="1" bestFit="1" customWidth="1"/>
    <col min="2822" max="2822" width="13.25" style="1" customWidth="1"/>
    <col min="2823" max="2823" width="12.875" style="1" bestFit="1" customWidth="1"/>
    <col min="2824" max="3072" width="9" style="1"/>
    <col min="3073" max="3073" width="11" style="1" customWidth="1"/>
    <col min="3074" max="3074" width="11.875" style="1" customWidth="1"/>
    <col min="3075" max="3075" width="9.375" style="1" customWidth="1"/>
    <col min="3076" max="3076" width="11.375" style="1" bestFit="1" customWidth="1"/>
    <col min="3077" max="3077" width="15.875" style="1" bestFit="1" customWidth="1"/>
    <col min="3078" max="3078" width="13.25" style="1" customWidth="1"/>
    <col min="3079" max="3079" width="12.875" style="1" bestFit="1" customWidth="1"/>
    <col min="3080" max="3328" width="9" style="1"/>
    <col min="3329" max="3329" width="11" style="1" customWidth="1"/>
    <col min="3330" max="3330" width="11.875" style="1" customWidth="1"/>
    <col min="3331" max="3331" width="9.375" style="1" customWidth="1"/>
    <col min="3332" max="3332" width="11.375" style="1" bestFit="1" customWidth="1"/>
    <col min="3333" max="3333" width="15.875" style="1" bestFit="1" customWidth="1"/>
    <col min="3334" max="3334" width="13.25" style="1" customWidth="1"/>
    <col min="3335" max="3335" width="12.875" style="1" bestFit="1" customWidth="1"/>
    <col min="3336" max="3584" width="9" style="1"/>
    <col min="3585" max="3585" width="11" style="1" customWidth="1"/>
    <col min="3586" max="3586" width="11.875" style="1" customWidth="1"/>
    <col min="3587" max="3587" width="9.375" style="1" customWidth="1"/>
    <col min="3588" max="3588" width="11.375" style="1" bestFit="1" customWidth="1"/>
    <col min="3589" max="3589" width="15.875" style="1" bestFit="1" customWidth="1"/>
    <col min="3590" max="3590" width="13.25" style="1" customWidth="1"/>
    <col min="3591" max="3591" width="12.875" style="1" bestFit="1" customWidth="1"/>
    <col min="3592" max="3840" width="9" style="1"/>
    <col min="3841" max="3841" width="11" style="1" customWidth="1"/>
    <col min="3842" max="3842" width="11.875" style="1" customWidth="1"/>
    <col min="3843" max="3843" width="9.375" style="1" customWidth="1"/>
    <col min="3844" max="3844" width="11.375" style="1" bestFit="1" customWidth="1"/>
    <col min="3845" max="3845" width="15.875" style="1" bestFit="1" customWidth="1"/>
    <col min="3846" max="3846" width="13.25" style="1" customWidth="1"/>
    <col min="3847" max="3847" width="12.875" style="1" bestFit="1" customWidth="1"/>
    <col min="3848" max="4096" width="9" style="1"/>
    <col min="4097" max="4097" width="11" style="1" customWidth="1"/>
    <col min="4098" max="4098" width="11.875" style="1" customWidth="1"/>
    <col min="4099" max="4099" width="9.375" style="1" customWidth="1"/>
    <col min="4100" max="4100" width="11.375" style="1" bestFit="1" customWidth="1"/>
    <col min="4101" max="4101" width="15.875" style="1" bestFit="1" customWidth="1"/>
    <col min="4102" max="4102" width="13.25" style="1" customWidth="1"/>
    <col min="4103" max="4103" width="12.875" style="1" bestFit="1" customWidth="1"/>
    <col min="4104" max="4352" width="9" style="1"/>
    <col min="4353" max="4353" width="11" style="1" customWidth="1"/>
    <col min="4354" max="4354" width="11.875" style="1" customWidth="1"/>
    <col min="4355" max="4355" width="9.375" style="1" customWidth="1"/>
    <col min="4356" max="4356" width="11.375" style="1" bestFit="1" customWidth="1"/>
    <col min="4357" max="4357" width="15.875" style="1" bestFit="1" customWidth="1"/>
    <col min="4358" max="4358" width="13.25" style="1" customWidth="1"/>
    <col min="4359" max="4359" width="12.875" style="1" bestFit="1" customWidth="1"/>
    <col min="4360" max="4608" width="9" style="1"/>
    <col min="4609" max="4609" width="11" style="1" customWidth="1"/>
    <col min="4610" max="4610" width="11.875" style="1" customWidth="1"/>
    <col min="4611" max="4611" width="9.375" style="1" customWidth="1"/>
    <col min="4612" max="4612" width="11.375" style="1" bestFit="1" customWidth="1"/>
    <col min="4613" max="4613" width="15.875" style="1" bestFit="1" customWidth="1"/>
    <col min="4614" max="4614" width="13.25" style="1" customWidth="1"/>
    <col min="4615" max="4615" width="12.875" style="1" bestFit="1" customWidth="1"/>
    <col min="4616" max="4864" width="9" style="1"/>
    <col min="4865" max="4865" width="11" style="1" customWidth="1"/>
    <col min="4866" max="4866" width="11.875" style="1" customWidth="1"/>
    <col min="4867" max="4867" width="9.375" style="1" customWidth="1"/>
    <col min="4868" max="4868" width="11.375" style="1" bestFit="1" customWidth="1"/>
    <col min="4869" max="4869" width="15.875" style="1" bestFit="1" customWidth="1"/>
    <col min="4870" max="4870" width="13.25" style="1" customWidth="1"/>
    <col min="4871" max="4871" width="12.875" style="1" bestFit="1" customWidth="1"/>
    <col min="4872" max="5120" width="9" style="1"/>
    <col min="5121" max="5121" width="11" style="1" customWidth="1"/>
    <col min="5122" max="5122" width="11.875" style="1" customWidth="1"/>
    <col min="5123" max="5123" width="9.375" style="1" customWidth="1"/>
    <col min="5124" max="5124" width="11.375" style="1" bestFit="1" customWidth="1"/>
    <col min="5125" max="5125" width="15.875" style="1" bestFit="1" customWidth="1"/>
    <col min="5126" max="5126" width="13.25" style="1" customWidth="1"/>
    <col min="5127" max="5127" width="12.875" style="1" bestFit="1" customWidth="1"/>
    <col min="5128" max="5376" width="9" style="1"/>
    <col min="5377" max="5377" width="11" style="1" customWidth="1"/>
    <col min="5378" max="5378" width="11.875" style="1" customWidth="1"/>
    <col min="5379" max="5379" width="9.375" style="1" customWidth="1"/>
    <col min="5380" max="5380" width="11.375" style="1" bestFit="1" customWidth="1"/>
    <col min="5381" max="5381" width="15.875" style="1" bestFit="1" customWidth="1"/>
    <col min="5382" max="5382" width="13.25" style="1" customWidth="1"/>
    <col min="5383" max="5383" width="12.875" style="1" bestFit="1" customWidth="1"/>
    <col min="5384" max="5632" width="9" style="1"/>
    <col min="5633" max="5633" width="11" style="1" customWidth="1"/>
    <col min="5634" max="5634" width="11.875" style="1" customWidth="1"/>
    <col min="5635" max="5635" width="9.375" style="1" customWidth="1"/>
    <col min="5636" max="5636" width="11.375" style="1" bestFit="1" customWidth="1"/>
    <col min="5637" max="5637" width="15.875" style="1" bestFit="1" customWidth="1"/>
    <col min="5638" max="5638" width="13.25" style="1" customWidth="1"/>
    <col min="5639" max="5639" width="12.875" style="1" bestFit="1" customWidth="1"/>
    <col min="5640" max="5888" width="9" style="1"/>
    <col min="5889" max="5889" width="11" style="1" customWidth="1"/>
    <col min="5890" max="5890" width="11.875" style="1" customWidth="1"/>
    <col min="5891" max="5891" width="9.375" style="1" customWidth="1"/>
    <col min="5892" max="5892" width="11.375" style="1" bestFit="1" customWidth="1"/>
    <col min="5893" max="5893" width="15.875" style="1" bestFit="1" customWidth="1"/>
    <col min="5894" max="5894" width="13.25" style="1" customWidth="1"/>
    <col min="5895" max="5895" width="12.875" style="1" bestFit="1" customWidth="1"/>
    <col min="5896" max="6144" width="9" style="1"/>
    <col min="6145" max="6145" width="11" style="1" customWidth="1"/>
    <col min="6146" max="6146" width="11.875" style="1" customWidth="1"/>
    <col min="6147" max="6147" width="9.375" style="1" customWidth="1"/>
    <col min="6148" max="6148" width="11.375" style="1" bestFit="1" customWidth="1"/>
    <col min="6149" max="6149" width="15.875" style="1" bestFit="1" customWidth="1"/>
    <col min="6150" max="6150" width="13.25" style="1" customWidth="1"/>
    <col min="6151" max="6151" width="12.875" style="1" bestFit="1" customWidth="1"/>
    <col min="6152" max="6400" width="9" style="1"/>
    <col min="6401" max="6401" width="11" style="1" customWidth="1"/>
    <col min="6402" max="6402" width="11.875" style="1" customWidth="1"/>
    <col min="6403" max="6403" width="9.375" style="1" customWidth="1"/>
    <col min="6404" max="6404" width="11.375" style="1" bestFit="1" customWidth="1"/>
    <col min="6405" max="6405" width="15.875" style="1" bestFit="1" customWidth="1"/>
    <col min="6406" max="6406" width="13.25" style="1" customWidth="1"/>
    <col min="6407" max="6407" width="12.875" style="1" bestFit="1" customWidth="1"/>
    <col min="6408" max="6656" width="9" style="1"/>
    <col min="6657" max="6657" width="11" style="1" customWidth="1"/>
    <col min="6658" max="6658" width="11.875" style="1" customWidth="1"/>
    <col min="6659" max="6659" width="9.375" style="1" customWidth="1"/>
    <col min="6660" max="6660" width="11.375" style="1" bestFit="1" customWidth="1"/>
    <col min="6661" max="6661" width="15.875" style="1" bestFit="1" customWidth="1"/>
    <col min="6662" max="6662" width="13.25" style="1" customWidth="1"/>
    <col min="6663" max="6663" width="12.875" style="1" bestFit="1" customWidth="1"/>
    <col min="6664" max="6912" width="9" style="1"/>
    <col min="6913" max="6913" width="11" style="1" customWidth="1"/>
    <col min="6914" max="6914" width="11.875" style="1" customWidth="1"/>
    <col min="6915" max="6915" width="9.375" style="1" customWidth="1"/>
    <col min="6916" max="6916" width="11.375" style="1" bestFit="1" customWidth="1"/>
    <col min="6917" max="6917" width="15.875" style="1" bestFit="1" customWidth="1"/>
    <col min="6918" max="6918" width="13.25" style="1" customWidth="1"/>
    <col min="6919" max="6919" width="12.875" style="1" bestFit="1" customWidth="1"/>
    <col min="6920" max="7168" width="9" style="1"/>
    <col min="7169" max="7169" width="11" style="1" customWidth="1"/>
    <col min="7170" max="7170" width="11.875" style="1" customWidth="1"/>
    <col min="7171" max="7171" width="9.375" style="1" customWidth="1"/>
    <col min="7172" max="7172" width="11.375" style="1" bestFit="1" customWidth="1"/>
    <col min="7173" max="7173" width="15.875" style="1" bestFit="1" customWidth="1"/>
    <col min="7174" max="7174" width="13.25" style="1" customWidth="1"/>
    <col min="7175" max="7175" width="12.875" style="1" bestFit="1" customWidth="1"/>
    <col min="7176" max="7424" width="9" style="1"/>
    <col min="7425" max="7425" width="11" style="1" customWidth="1"/>
    <col min="7426" max="7426" width="11.875" style="1" customWidth="1"/>
    <col min="7427" max="7427" width="9.375" style="1" customWidth="1"/>
    <col min="7428" max="7428" width="11.375" style="1" bestFit="1" customWidth="1"/>
    <col min="7429" max="7429" width="15.875" style="1" bestFit="1" customWidth="1"/>
    <col min="7430" max="7430" width="13.25" style="1" customWidth="1"/>
    <col min="7431" max="7431" width="12.875" style="1" bestFit="1" customWidth="1"/>
    <col min="7432" max="7680" width="9" style="1"/>
    <col min="7681" max="7681" width="11" style="1" customWidth="1"/>
    <col min="7682" max="7682" width="11.875" style="1" customWidth="1"/>
    <col min="7683" max="7683" width="9.375" style="1" customWidth="1"/>
    <col min="7684" max="7684" width="11.375" style="1" bestFit="1" customWidth="1"/>
    <col min="7685" max="7685" width="15.875" style="1" bestFit="1" customWidth="1"/>
    <col min="7686" max="7686" width="13.25" style="1" customWidth="1"/>
    <col min="7687" max="7687" width="12.875" style="1" bestFit="1" customWidth="1"/>
    <col min="7688" max="7936" width="9" style="1"/>
    <col min="7937" max="7937" width="11" style="1" customWidth="1"/>
    <col min="7938" max="7938" width="11.875" style="1" customWidth="1"/>
    <col min="7939" max="7939" width="9.375" style="1" customWidth="1"/>
    <col min="7940" max="7940" width="11.375" style="1" bestFit="1" customWidth="1"/>
    <col min="7941" max="7941" width="15.875" style="1" bestFit="1" customWidth="1"/>
    <col min="7942" max="7942" width="13.25" style="1" customWidth="1"/>
    <col min="7943" max="7943" width="12.875" style="1" bestFit="1" customWidth="1"/>
    <col min="7944" max="8192" width="9" style="1"/>
    <col min="8193" max="8193" width="11" style="1" customWidth="1"/>
    <col min="8194" max="8194" width="11.875" style="1" customWidth="1"/>
    <col min="8195" max="8195" width="9.375" style="1" customWidth="1"/>
    <col min="8196" max="8196" width="11.375" style="1" bestFit="1" customWidth="1"/>
    <col min="8197" max="8197" width="15.875" style="1" bestFit="1" customWidth="1"/>
    <col min="8198" max="8198" width="13.25" style="1" customWidth="1"/>
    <col min="8199" max="8199" width="12.875" style="1" bestFit="1" customWidth="1"/>
    <col min="8200" max="8448" width="9" style="1"/>
    <col min="8449" max="8449" width="11" style="1" customWidth="1"/>
    <col min="8450" max="8450" width="11.875" style="1" customWidth="1"/>
    <col min="8451" max="8451" width="9.375" style="1" customWidth="1"/>
    <col min="8452" max="8452" width="11.375" style="1" bestFit="1" customWidth="1"/>
    <col min="8453" max="8453" width="15.875" style="1" bestFit="1" customWidth="1"/>
    <col min="8454" max="8454" width="13.25" style="1" customWidth="1"/>
    <col min="8455" max="8455" width="12.875" style="1" bestFit="1" customWidth="1"/>
    <col min="8456" max="8704" width="9" style="1"/>
    <col min="8705" max="8705" width="11" style="1" customWidth="1"/>
    <col min="8706" max="8706" width="11.875" style="1" customWidth="1"/>
    <col min="8707" max="8707" width="9.375" style="1" customWidth="1"/>
    <col min="8708" max="8708" width="11.375" style="1" bestFit="1" customWidth="1"/>
    <col min="8709" max="8709" width="15.875" style="1" bestFit="1" customWidth="1"/>
    <col min="8710" max="8710" width="13.25" style="1" customWidth="1"/>
    <col min="8711" max="8711" width="12.875" style="1" bestFit="1" customWidth="1"/>
    <col min="8712" max="8960" width="9" style="1"/>
    <col min="8961" max="8961" width="11" style="1" customWidth="1"/>
    <col min="8962" max="8962" width="11.875" style="1" customWidth="1"/>
    <col min="8963" max="8963" width="9.375" style="1" customWidth="1"/>
    <col min="8964" max="8964" width="11.375" style="1" bestFit="1" customWidth="1"/>
    <col min="8965" max="8965" width="15.875" style="1" bestFit="1" customWidth="1"/>
    <col min="8966" max="8966" width="13.25" style="1" customWidth="1"/>
    <col min="8967" max="8967" width="12.875" style="1" bestFit="1" customWidth="1"/>
    <col min="8968" max="9216" width="9" style="1"/>
    <col min="9217" max="9217" width="11" style="1" customWidth="1"/>
    <col min="9218" max="9218" width="11.875" style="1" customWidth="1"/>
    <col min="9219" max="9219" width="9.375" style="1" customWidth="1"/>
    <col min="9220" max="9220" width="11.375" style="1" bestFit="1" customWidth="1"/>
    <col min="9221" max="9221" width="15.875" style="1" bestFit="1" customWidth="1"/>
    <col min="9222" max="9222" width="13.25" style="1" customWidth="1"/>
    <col min="9223" max="9223" width="12.875" style="1" bestFit="1" customWidth="1"/>
    <col min="9224" max="9472" width="9" style="1"/>
    <col min="9473" max="9473" width="11" style="1" customWidth="1"/>
    <col min="9474" max="9474" width="11.875" style="1" customWidth="1"/>
    <col min="9475" max="9475" width="9.375" style="1" customWidth="1"/>
    <col min="9476" max="9476" width="11.375" style="1" bestFit="1" customWidth="1"/>
    <col min="9477" max="9477" width="15.875" style="1" bestFit="1" customWidth="1"/>
    <col min="9478" max="9478" width="13.25" style="1" customWidth="1"/>
    <col min="9479" max="9479" width="12.875" style="1" bestFit="1" customWidth="1"/>
    <col min="9480" max="9728" width="9" style="1"/>
    <col min="9729" max="9729" width="11" style="1" customWidth="1"/>
    <col min="9730" max="9730" width="11.875" style="1" customWidth="1"/>
    <col min="9731" max="9731" width="9.375" style="1" customWidth="1"/>
    <col min="9732" max="9732" width="11.375" style="1" bestFit="1" customWidth="1"/>
    <col min="9733" max="9733" width="15.875" style="1" bestFit="1" customWidth="1"/>
    <col min="9734" max="9734" width="13.25" style="1" customWidth="1"/>
    <col min="9735" max="9735" width="12.875" style="1" bestFit="1" customWidth="1"/>
    <col min="9736" max="9984" width="9" style="1"/>
    <col min="9985" max="9985" width="11" style="1" customWidth="1"/>
    <col min="9986" max="9986" width="11.875" style="1" customWidth="1"/>
    <col min="9987" max="9987" width="9.375" style="1" customWidth="1"/>
    <col min="9988" max="9988" width="11.375" style="1" bestFit="1" customWidth="1"/>
    <col min="9989" max="9989" width="15.875" style="1" bestFit="1" customWidth="1"/>
    <col min="9990" max="9990" width="13.25" style="1" customWidth="1"/>
    <col min="9991" max="9991" width="12.875" style="1" bestFit="1" customWidth="1"/>
    <col min="9992" max="10240" width="9" style="1"/>
    <col min="10241" max="10241" width="11" style="1" customWidth="1"/>
    <col min="10242" max="10242" width="11.875" style="1" customWidth="1"/>
    <col min="10243" max="10243" width="9.375" style="1" customWidth="1"/>
    <col min="10244" max="10244" width="11.375" style="1" bestFit="1" customWidth="1"/>
    <col min="10245" max="10245" width="15.875" style="1" bestFit="1" customWidth="1"/>
    <col min="10246" max="10246" width="13.25" style="1" customWidth="1"/>
    <col min="10247" max="10247" width="12.875" style="1" bestFit="1" customWidth="1"/>
    <col min="10248" max="10496" width="9" style="1"/>
    <col min="10497" max="10497" width="11" style="1" customWidth="1"/>
    <col min="10498" max="10498" width="11.875" style="1" customWidth="1"/>
    <col min="10499" max="10499" width="9.375" style="1" customWidth="1"/>
    <col min="10500" max="10500" width="11.375" style="1" bestFit="1" customWidth="1"/>
    <col min="10501" max="10501" width="15.875" style="1" bestFit="1" customWidth="1"/>
    <col min="10502" max="10502" width="13.25" style="1" customWidth="1"/>
    <col min="10503" max="10503" width="12.875" style="1" bestFit="1" customWidth="1"/>
    <col min="10504" max="10752" width="9" style="1"/>
    <col min="10753" max="10753" width="11" style="1" customWidth="1"/>
    <col min="10754" max="10754" width="11.875" style="1" customWidth="1"/>
    <col min="10755" max="10755" width="9.375" style="1" customWidth="1"/>
    <col min="10756" max="10756" width="11.375" style="1" bestFit="1" customWidth="1"/>
    <col min="10757" max="10757" width="15.875" style="1" bestFit="1" customWidth="1"/>
    <col min="10758" max="10758" width="13.25" style="1" customWidth="1"/>
    <col min="10759" max="10759" width="12.875" style="1" bestFit="1" customWidth="1"/>
    <col min="10760" max="11008" width="9" style="1"/>
    <col min="11009" max="11009" width="11" style="1" customWidth="1"/>
    <col min="11010" max="11010" width="11.875" style="1" customWidth="1"/>
    <col min="11011" max="11011" width="9.375" style="1" customWidth="1"/>
    <col min="11012" max="11012" width="11.375" style="1" bestFit="1" customWidth="1"/>
    <col min="11013" max="11013" width="15.875" style="1" bestFit="1" customWidth="1"/>
    <col min="11014" max="11014" width="13.25" style="1" customWidth="1"/>
    <col min="11015" max="11015" width="12.875" style="1" bestFit="1" customWidth="1"/>
    <col min="11016" max="11264" width="9" style="1"/>
    <col min="11265" max="11265" width="11" style="1" customWidth="1"/>
    <col min="11266" max="11266" width="11.875" style="1" customWidth="1"/>
    <col min="11267" max="11267" width="9.375" style="1" customWidth="1"/>
    <col min="11268" max="11268" width="11.375" style="1" bestFit="1" customWidth="1"/>
    <col min="11269" max="11269" width="15.875" style="1" bestFit="1" customWidth="1"/>
    <col min="11270" max="11270" width="13.25" style="1" customWidth="1"/>
    <col min="11271" max="11271" width="12.875" style="1" bestFit="1" customWidth="1"/>
    <col min="11272" max="11520" width="9" style="1"/>
    <col min="11521" max="11521" width="11" style="1" customWidth="1"/>
    <col min="11522" max="11522" width="11.875" style="1" customWidth="1"/>
    <col min="11523" max="11523" width="9.375" style="1" customWidth="1"/>
    <col min="11524" max="11524" width="11.375" style="1" bestFit="1" customWidth="1"/>
    <col min="11525" max="11525" width="15.875" style="1" bestFit="1" customWidth="1"/>
    <col min="11526" max="11526" width="13.25" style="1" customWidth="1"/>
    <col min="11527" max="11527" width="12.875" style="1" bestFit="1" customWidth="1"/>
    <col min="11528" max="11776" width="9" style="1"/>
    <col min="11777" max="11777" width="11" style="1" customWidth="1"/>
    <col min="11778" max="11778" width="11.875" style="1" customWidth="1"/>
    <col min="11779" max="11779" width="9.375" style="1" customWidth="1"/>
    <col min="11780" max="11780" width="11.375" style="1" bestFit="1" customWidth="1"/>
    <col min="11781" max="11781" width="15.875" style="1" bestFit="1" customWidth="1"/>
    <col min="11782" max="11782" width="13.25" style="1" customWidth="1"/>
    <col min="11783" max="11783" width="12.875" style="1" bestFit="1" customWidth="1"/>
    <col min="11784" max="12032" width="9" style="1"/>
    <col min="12033" max="12033" width="11" style="1" customWidth="1"/>
    <col min="12034" max="12034" width="11.875" style="1" customWidth="1"/>
    <col min="12035" max="12035" width="9.375" style="1" customWidth="1"/>
    <col min="12036" max="12036" width="11.375" style="1" bestFit="1" customWidth="1"/>
    <col min="12037" max="12037" width="15.875" style="1" bestFit="1" customWidth="1"/>
    <col min="12038" max="12038" width="13.25" style="1" customWidth="1"/>
    <col min="12039" max="12039" width="12.875" style="1" bestFit="1" customWidth="1"/>
    <col min="12040" max="12288" width="9" style="1"/>
    <col min="12289" max="12289" width="11" style="1" customWidth="1"/>
    <col min="12290" max="12290" width="11.875" style="1" customWidth="1"/>
    <col min="12291" max="12291" width="9.375" style="1" customWidth="1"/>
    <col min="12292" max="12292" width="11.375" style="1" bestFit="1" customWidth="1"/>
    <col min="12293" max="12293" width="15.875" style="1" bestFit="1" customWidth="1"/>
    <col min="12294" max="12294" width="13.25" style="1" customWidth="1"/>
    <col min="12295" max="12295" width="12.875" style="1" bestFit="1" customWidth="1"/>
    <col min="12296" max="12544" width="9" style="1"/>
    <col min="12545" max="12545" width="11" style="1" customWidth="1"/>
    <col min="12546" max="12546" width="11.875" style="1" customWidth="1"/>
    <col min="12547" max="12547" width="9.375" style="1" customWidth="1"/>
    <col min="12548" max="12548" width="11.375" style="1" bestFit="1" customWidth="1"/>
    <col min="12549" max="12549" width="15.875" style="1" bestFit="1" customWidth="1"/>
    <col min="12550" max="12550" width="13.25" style="1" customWidth="1"/>
    <col min="12551" max="12551" width="12.875" style="1" bestFit="1" customWidth="1"/>
    <col min="12552" max="12800" width="9" style="1"/>
    <col min="12801" max="12801" width="11" style="1" customWidth="1"/>
    <col min="12802" max="12802" width="11.875" style="1" customWidth="1"/>
    <col min="12803" max="12803" width="9.375" style="1" customWidth="1"/>
    <col min="12804" max="12804" width="11.375" style="1" bestFit="1" customWidth="1"/>
    <col min="12805" max="12805" width="15.875" style="1" bestFit="1" customWidth="1"/>
    <col min="12806" max="12806" width="13.25" style="1" customWidth="1"/>
    <col min="12807" max="12807" width="12.875" style="1" bestFit="1" customWidth="1"/>
    <col min="12808" max="13056" width="9" style="1"/>
    <col min="13057" max="13057" width="11" style="1" customWidth="1"/>
    <col min="13058" max="13058" width="11.875" style="1" customWidth="1"/>
    <col min="13059" max="13059" width="9.375" style="1" customWidth="1"/>
    <col min="13060" max="13060" width="11.375" style="1" bestFit="1" customWidth="1"/>
    <col min="13061" max="13061" width="15.875" style="1" bestFit="1" customWidth="1"/>
    <col min="13062" max="13062" width="13.25" style="1" customWidth="1"/>
    <col min="13063" max="13063" width="12.875" style="1" bestFit="1" customWidth="1"/>
    <col min="13064" max="13312" width="9" style="1"/>
    <col min="13313" max="13313" width="11" style="1" customWidth="1"/>
    <col min="13314" max="13314" width="11.875" style="1" customWidth="1"/>
    <col min="13315" max="13315" width="9.375" style="1" customWidth="1"/>
    <col min="13316" max="13316" width="11.375" style="1" bestFit="1" customWidth="1"/>
    <col min="13317" max="13317" width="15.875" style="1" bestFit="1" customWidth="1"/>
    <col min="13318" max="13318" width="13.25" style="1" customWidth="1"/>
    <col min="13319" max="13319" width="12.875" style="1" bestFit="1" customWidth="1"/>
    <col min="13320" max="13568" width="9" style="1"/>
    <col min="13569" max="13569" width="11" style="1" customWidth="1"/>
    <col min="13570" max="13570" width="11.875" style="1" customWidth="1"/>
    <col min="13571" max="13571" width="9.375" style="1" customWidth="1"/>
    <col min="13572" max="13572" width="11.375" style="1" bestFit="1" customWidth="1"/>
    <col min="13573" max="13573" width="15.875" style="1" bestFit="1" customWidth="1"/>
    <col min="13574" max="13574" width="13.25" style="1" customWidth="1"/>
    <col min="13575" max="13575" width="12.875" style="1" bestFit="1" customWidth="1"/>
    <col min="13576" max="13824" width="9" style="1"/>
    <col min="13825" max="13825" width="11" style="1" customWidth="1"/>
    <col min="13826" max="13826" width="11.875" style="1" customWidth="1"/>
    <col min="13827" max="13827" width="9.375" style="1" customWidth="1"/>
    <col min="13828" max="13828" width="11.375" style="1" bestFit="1" customWidth="1"/>
    <col min="13829" max="13829" width="15.875" style="1" bestFit="1" customWidth="1"/>
    <col min="13830" max="13830" width="13.25" style="1" customWidth="1"/>
    <col min="13831" max="13831" width="12.875" style="1" bestFit="1" customWidth="1"/>
    <col min="13832" max="14080" width="9" style="1"/>
    <col min="14081" max="14081" width="11" style="1" customWidth="1"/>
    <col min="14082" max="14082" width="11.875" style="1" customWidth="1"/>
    <col min="14083" max="14083" width="9.375" style="1" customWidth="1"/>
    <col min="14084" max="14084" width="11.375" style="1" bestFit="1" customWidth="1"/>
    <col min="14085" max="14085" width="15.875" style="1" bestFit="1" customWidth="1"/>
    <col min="14086" max="14086" width="13.25" style="1" customWidth="1"/>
    <col min="14087" max="14087" width="12.875" style="1" bestFit="1" customWidth="1"/>
    <col min="14088" max="14336" width="9" style="1"/>
    <col min="14337" max="14337" width="11" style="1" customWidth="1"/>
    <col min="14338" max="14338" width="11.875" style="1" customWidth="1"/>
    <col min="14339" max="14339" width="9.375" style="1" customWidth="1"/>
    <col min="14340" max="14340" width="11.375" style="1" bestFit="1" customWidth="1"/>
    <col min="14341" max="14341" width="15.875" style="1" bestFit="1" customWidth="1"/>
    <col min="14342" max="14342" width="13.25" style="1" customWidth="1"/>
    <col min="14343" max="14343" width="12.875" style="1" bestFit="1" customWidth="1"/>
    <col min="14344" max="14592" width="9" style="1"/>
    <col min="14593" max="14593" width="11" style="1" customWidth="1"/>
    <col min="14594" max="14594" width="11.875" style="1" customWidth="1"/>
    <col min="14595" max="14595" width="9.375" style="1" customWidth="1"/>
    <col min="14596" max="14596" width="11.375" style="1" bestFit="1" customWidth="1"/>
    <col min="14597" max="14597" width="15.875" style="1" bestFit="1" customWidth="1"/>
    <col min="14598" max="14598" width="13.25" style="1" customWidth="1"/>
    <col min="14599" max="14599" width="12.875" style="1" bestFit="1" customWidth="1"/>
    <col min="14600" max="14848" width="9" style="1"/>
    <col min="14849" max="14849" width="11" style="1" customWidth="1"/>
    <col min="14850" max="14850" width="11.875" style="1" customWidth="1"/>
    <col min="14851" max="14851" width="9.375" style="1" customWidth="1"/>
    <col min="14852" max="14852" width="11.375" style="1" bestFit="1" customWidth="1"/>
    <col min="14853" max="14853" width="15.875" style="1" bestFit="1" customWidth="1"/>
    <col min="14854" max="14854" width="13.25" style="1" customWidth="1"/>
    <col min="14855" max="14855" width="12.875" style="1" bestFit="1" customWidth="1"/>
    <col min="14856" max="15104" width="9" style="1"/>
    <col min="15105" max="15105" width="11" style="1" customWidth="1"/>
    <col min="15106" max="15106" width="11.875" style="1" customWidth="1"/>
    <col min="15107" max="15107" width="9.375" style="1" customWidth="1"/>
    <col min="15108" max="15108" width="11.375" style="1" bestFit="1" customWidth="1"/>
    <col min="15109" max="15109" width="15.875" style="1" bestFit="1" customWidth="1"/>
    <col min="15110" max="15110" width="13.25" style="1" customWidth="1"/>
    <col min="15111" max="15111" width="12.875" style="1" bestFit="1" customWidth="1"/>
    <col min="15112" max="15360" width="9" style="1"/>
    <col min="15361" max="15361" width="11" style="1" customWidth="1"/>
    <col min="15362" max="15362" width="11.875" style="1" customWidth="1"/>
    <col min="15363" max="15363" width="9.375" style="1" customWidth="1"/>
    <col min="15364" max="15364" width="11.375" style="1" bestFit="1" customWidth="1"/>
    <col min="15365" max="15365" width="15.875" style="1" bestFit="1" customWidth="1"/>
    <col min="15366" max="15366" width="13.25" style="1" customWidth="1"/>
    <col min="15367" max="15367" width="12.875" style="1" bestFit="1" customWidth="1"/>
    <col min="15368" max="15616" width="9" style="1"/>
    <col min="15617" max="15617" width="11" style="1" customWidth="1"/>
    <col min="15618" max="15618" width="11.875" style="1" customWidth="1"/>
    <col min="15619" max="15619" width="9.375" style="1" customWidth="1"/>
    <col min="15620" max="15620" width="11.375" style="1" bestFit="1" customWidth="1"/>
    <col min="15621" max="15621" width="15.875" style="1" bestFit="1" customWidth="1"/>
    <col min="15622" max="15622" width="13.25" style="1" customWidth="1"/>
    <col min="15623" max="15623" width="12.875" style="1" bestFit="1" customWidth="1"/>
    <col min="15624" max="15872" width="9" style="1"/>
    <col min="15873" max="15873" width="11" style="1" customWidth="1"/>
    <col min="15874" max="15874" width="11.875" style="1" customWidth="1"/>
    <col min="15875" max="15875" width="9.375" style="1" customWidth="1"/>
    <col min="15876" max="15876" width="11.375" style="1" bestFit="1" customWidth="1"/>
    <col min="15877" max="15877" width="15.875" style="1" bestFit="1" customWidth="1"/>
    <col min="15878" max="15878" width="13.25" style="1" customWidth="1"/>
    <col min="15879" max="15879" width="12.875" style="1" bestFit="1" customWidth="1"/>
    <col min="15880" max="16128" width="9" style="1"/>
    <col min="16129" max="16129" width="11" style="1" customWidth="1"/>
    <col min="16130" max="16130" width="11.875" style="1" customWidth="1"/>
    <col min="16131" max="16131" width="9.375" style="1" customWidth="1"/>
    <col min="16132" max="16132" width="11.375" style="1" bestFit="1" customWidth="1"/>
    <col min="16133" max="16133" width="15.875" style="1" bestFit="1" customWidth="1"/>
    <col min="16134" max="16134" width="13.25" style="1" customWidth="1"/>
    <col min="16135" max="16135" width="12.875" style="1" bestFit="1" customWidth="1"/>
    <col min="16136" max="16384" width="9" style="1"/>
  </cols>
  <sheetData>
    <row r="1" spans="1:7">
      <c r="A1" s="1" t="s">
        <v>171</v>
      </c>
    </row>
    <row r="2" spans="1:7">
      <c r="G2" s="2">
        <v>45327</v>
      </c>
    </row>
    <row r="3" spans="1:7">
      <c r="A3" s="1" t="s">
        <v>174</v>
      </c>
      <c r="B3" s="1" t="s">
        <v>175</v>
      </c>
      <c r="C3" s="1" t="s">
        <v>176</v>
      </c>
      <c r="D3" s="1" t="s">
        <v>177</v>
      </c>
      <c r="E3" s="1" t="s">
        <v>178</v>
      </c>
      <c r="F3" s="1" t="s">
        <v>179</v>
      </c>
      <c r="G3" s="1" t="s">
        <v>180</v>
      </c>
    </row>
    <row r="4" spans="1:7">
      <c r="A4" s="1" t="s">
        <v>181</v>
      </c>
      <c r="B4" s="1" t="s">
        <v>182</v>
      </c>
      <c r="C4" s="1" t="s">
        <v>183</v>
      </c>
      <c r="D4" s="1" t="s">
        <v>184</v>
      </c>
      <c r="E4" s="1" t="s">
        <v>185</v>
      </c>
      <c r="F4" s="2">
        <v>45295</v>
      </c>
      <c r="G4" s="1">
        <v>654000</v>
      </c>
    </row>
    <row r="5" spans="1:7">
      <c r="A5" s="1" t="s">
        <v>186</v>
      </c>
      <c r="B5" s="1" t="s">
        <v>187</v>
      </c>
      <c r="C5" s="1" t="s">
        <v>188</v>
      </c>
      <c r="D5" s="1" t="s">
        <v>189</v>
      </c>
      <c r="E5" s="1" t="s">
        <v>190</v>
      </c>
      <c r="F5" s="2">
        <v>45296</v>
      </c>
      <c r="G5" s="1">
        <v>453000</v>
      </c>
    </row>
    <row r="6" spans="1:7">
      <c r="A6" s="1" t="s">
        <v>191</v>
      </c>
      <c r="B6" s="1" t="s">
        <v>192</v>
      </c>
      <c r="C6" s="1" t="s">
        <v>193</v>
      </c>
      <c r="D6" s="1" t="s">
        <v>194</v>
      </c>
      <c r="E6" s="1" t="s">
        <v>195</v>
      </c>
      <c r="F6" s="2">
        <v>45317</v>
      </c>
      <c r="G6" s="1">
        <v>765000</v>
      </c>
    </row>
    <row r="7" spans="1:7">
      <c r="A7" s="1" t="s">
        <v>196</v>
      </c>
      <c r="B7" s="1" t="s">
        <v>197</v>
      </c>
      <c r="C7" s="1" t="s">
        <v>198</v>
      </c>
      <c r="D7" s="1" t="s">
        <v>199</v>
      </c>
      <c r="E7" s="1" t="s">
        <v>200</v>
      </c>
      <c r="F7" s="2">
        <v>45301</v>
      </c>
      <c r="G7" s="1">
        <v>546000</v>
      </c>
    </row>
    <row r="8" spans="1:7">
      <c r="A8" s="1" t="s">
        <v>201</v>
      </c>
      <c r="B8" s="1" t="s">
        <v>202</v>
      </c>
      <c r="C8" s="1" t="s">
        <v>203</v>
      </c>
      <c r="D8" s="1" t="s">
        <v>204</v>
      </c>
      <c r="E8" s="1" t="s">
        <v>205</v>
      </c>
      <c r="F8" s="2">
        <v>45296</v>
      </c>
      <c r="G8" s="1">
        <v>879000</v>
      </c>
    </row>
    <row r="9" spans="1:7">
      <c r="A9" s="1" t="s">
        <v>206</v>
      </c>
      <c r="B9" s="1" t="s">
        <v>207</v>
      </c>
      <c r="C9" s="1" t="s">
        <v>208</v>
      </c>
      <c r="D9" s="1" t="s">
        <v>189</v>
      </c>
      <c r="E9" s="1" t="s">
        <v>209</v>
      </c>
      <c r="F9" s="2">
        <v>45321</v>
      </c>
      <c r="G9" s="1">
        <v>345000</v>
      </c>
    </row>
  </sheetData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11"/>
  <sheetViews>
    <sheetView workbookViewId="0">
      <selection sqref="A1:G1"/>
    </sheetView>
  </sheetViews>
  <sheetFormatPr defaultRowHeight="16.5"/>
  <cols>
    <col min="1" max="2" width="9" customWidth="1"/>
    <col min="3" max="3" width="14.375" bestFit="1" customWidth="1"/>
    <col min="4" max="4" width="13" bestFit="1" customWidth="1"/>
    <col min="5" max="5" width="9" customWidth="1"/>
    <col min="6" max="6" width="14.375" bestFit="1" customWidth="1"/>
    <col min="7" max="7" width="12.875" bestFit="1" customWidth="1"/>
    <col min="257" max="257" width="9" customWidth="1"/>
    <col min="258" max="258" width="9" bestFit="1" customWidth="1"/>
    <col min="259" max="259" width="14.25" bestFit="1" customWidth="1"/>
    <col min="260" max="260" width="13.125" bestFit="1" customWidth="1"/>
    <col min="261" max="261" width="10.875" bestFit="1" customWidth="1"/>
    <col min="262" max="262" width="14.25" bestFit="1" customWidth="1"/>
    <col min="263" max="263" width="12.875" bestFit="1" customWidth="1"/>
    <col min="513" max="513" width="9" customWidth="1"/>
    <col min="514" max="514" width="9" bestFit="1" customWidth="1"/>
    <col min="515" max="515" width="14.25" bestFit="1" customWidth="1"/>
    <col min="516" max="516" width="13.125" bestFit="1" customWidth="1"/>
    <col min="517" max="517" width="10.875" bestFit="1" customWidth="1"/>
    <col min="518" max="518" width="14.25" bestFit="1" customWidth="1"/>
    <col min="519" max="519" width="12.875" bestFit="1" customWidth="1"/>
    <col min="769" max="769" width="9" customWidth="1"/>
    <col min="770" max="770" width="9" bestFit="1" customWidth="1"/>
    <col min="771" max="771" width="14.25" bestFit="1" customWidth="1"/>
    <col min="772" max="772" width="13.125" bestFit="1" customWidth="1"/>
    <col min="773" max="773" width="10.875" bestFit="1" customWidth="1"/>
    <col min="774" max="774" width="14.25" bestFit="1" customWidth="1"/>
    <col min="775" max="775" width="12.875" bestFit="1" customWidth="1"/>
    <col min="1025" max="1025" width="9" customWidth="1"/>
    <col min="1026" max="1026" width="9" bestFit="1" customWidth="1"/>
    <col min="1027" max="1027" width="14.25" bestFit="1" customWidth="1"/>
    <col min="1028" max="1028" width="13.125" bestFit="1" customWidth="1"/>
    <col min="1029" max="1029" width="10.875" bestFit="1" customWidth="1"/>
    <col min="1030" max="1030" width="14.25" bestFit="1" customWidth="1"/>
    <col min="1031" max="1031" width="12.875" bestFit="1" customWidth="1"/>
    <col min="1281" max="1281" width="9" customWidth="1"/>
    <col min="1282" max="1282" width="9" bestFit="1" customWidth="1"/>
    <col min="1283" max="1283" width="14.25" bestFit="1" customWidth="1"/>
    <col min="1284" max="1284" width="13.125" bestFit="1" customWidth="1"/>
    <col min="1285" max="1285" width="10.875" bestFit="1" customWidth="1"/>
    <col min="1286" max="1286" width="14.25" bestFit="1" customWidth="1"/>
    <col min="1287" max="1287" width="12.875" bestFit="1" customWidth="1"/>
    <col min="1537" max="1537" width="9" customWidth="1"/>
    <col min="1538" max="1538" width="9" bestFit="1" customWidth="1"/>
    <col min="1539" max="1539" width="14.25" bestFit="1" customWidth="1"/>
    <col min="1540" max="1540" width="13.125" bestFit="1" customWidth="1"/>
    <col min="1541" max="1541" width="10.875" bestFit="1" customWidth="1"/>
    <col min="1542" max="1542" width="14.25" bestFit="1" customWidth="1"/>
    <col min="1543" max="1543" width="12.875" bestFit="1" customWidth="1"/>
    <col min="1793" max="1793" width="9" customWidth="1"/>
    <col min="1794" max="1794" width="9" bestFit="1" customWidth="1"/>
    <col min="1795" max="1795" width="14.25" bestFit="1" customWidth="1"/>
    <col min="1796" max="1796" width="13.125" bestFit="1" customWidth="1"/>
    <col min="1797" max="1797" width="10.875" bestFit="1" customWidth="1"/>
    <col min="1798" max="1798" width="14.25" bestFit="1" customWidth="1"/>
    <col min="1799" max="1799" width="12.875" bestFit="1" customWidth="1"/>
    <col min="2049" max="2049" width="9" customWidth="1"/>
    <col min="2050" max="2050" width="9" bestFit="1" customWidth="1"/>
    <col min="2051" max="2051" width="14.25" bestFit="1" customWidth="1"/>
    <col min="2052" max="2052" width="13.125" bestFit="1" customWidth="1"/>
    <col min="2053" max="2053" width="10.875" bestFit="1" customWidth="1"/>
    <col min="2054" max="2054" width="14.25" bestFit="1" customWidth="1"/>
    <col min="2055" max="2055" width="12.875" bestFit="1" customWidth="1"/>
    <col min="2305" max="2305" width="9" customWidth="1"/>
    <col min="2306" max="2306" width="9" bestFit="1" customWidth="1"/>
    <col min="2307" max="2307" width="14.25" bestFit="1" customWidth="1"/>
    <col min="2308" max="2308" width="13.125" bestFit="1" customWidth="1"/>
    <col min="2309" max="2309" width="10.875" bestFit="1" customWidth="1"/>
    <col min="2310" max="2310" width="14.25" bestFit="1" customWidth="1"/>
    <col min="2311" max="2311" width="12.875" bestFit="1" customWidth="1"/>
    <col min="2561" max="2561" width="9" customWidth="1"/>
    <col min="2562" max="2562" width="9" bestFit="1" customWidth="1"/>
    <col min="2563" max="2563" width="14.25" bestFit="1" customWidth="1"/>
    <col min="2564" max="2564" width="13.125" bestFit="1" customWidth="1"/>
    <col min="2565" max="2565" width="10.875" bestFit="1" customWidth="1"/>
    <col min="2566" max="2566" width="14.25" bestFit="1" customWidth="1"/>
    <col min="2567" max="2567" width="12.875" bestFit="1" customWidth="1"/>
    <col min="2817" max="2817" width="9" customWidth="1"/>
    <col min="2818" max="2818" width="9" bestFit="1" customWidth="1"/>
    <col min="2819" max="2819" width="14.25" bestFit="1" customWidth="1"/>
    <col min="2820" max="2820" width="13.125" bestFit="1" customWidth="1"/>
    <col min="2821" max="2821" width="10.875" bestFit="1" customWidth="1"/>
    <col min="2822" max="2822" width="14.25" bestFit="1" customWidth="1"/>
    <col min="2823" max="2823" width="12.875" bestFit="1" customWidth="1"/>
    <col min="3073" max="3073" width="9" customWidth="1"/>
    <col min="3074" max="3074" width="9" bestFit="1" customWidth="1"/>
    <col min="3075" max="3075" width="14.25" bestFit="1" customWidth="1"/>
    <col min="3076" max="3076" width="13.125" bestFit="1" customWidth="1"/>
    <col min="3077" max="3077" width="10.875" bestFit="1" customWidth="1"/>
    <col min="3078" max="3078" width="14.25" bestFit="1" customWidth="1"/>
    <col min="3079" max="3079" width="12.875" bestFit="1" customWidth="1"/>
    <col min="3329" max="3329" width="9" customWidth="1"/>
    <col min="3330" max="3330" width="9" bestFit="1" customWidth="1"/>
    <col min="3331" max="3331" width="14.25" bestFit="1" customWidth="1"/>
    <col min="3332" max="3332" width="13.125" bestFit="1" customWidth="1"/>
    <col min="3333" max="3333" width="10.875" bestFit="1" customWidth="1"/>
    <col min="3334" max="3334" width="14.25" bestFit="1" customWidth="1"/>
    <col min="3335" max="3335" width="12.875" bestFit="1" customWidth="1"/>
    <col min="3585" max="3585" width="9" customWidth="1"/>
    <col min="3586" max="3586" width="9" bestFit="1" customWidth="1"/>
    <col min="3587" max="3587" width="14.25" bestFit="1" customWidth="1"/>
    <col min="3588" max="3588" width="13.125" bestFit="1" customWidth="1"/>
    <col min="3589" max="3589" width="10.875" bestFit="1" customWidth="1"/>
    <col min="3590" max="3590" width="14.25" bestFit="1" customWidth="1"/>
    <col min="3591" max="3591" width="12.875" bestFit="1" customWidth="1"/>
    <col min="3841" max="3841" width="9" customWidth="1"/>
    <col min="3842" max="3842" width="9" bestFit="1" customWidth="1"/>
    <col min="3843" max="3843" width="14.25" bestFit="1" customWidth="1"/>
    <col min="3844" max="3844" width="13.125" bestFit="1" customWidth="1"/>
    <col min="3845" max="3845" width="10.875" bestFit="1" customWidth="1"/>
    <col min="3846" max="3846" width="14.25" bestFit="1" customWidth="1"/>
    <col min="3847" max="3847" width="12.875" bestFit="1" customWidth="1"/>
    <col min="4097" max="4097" width="9" customWidth="1"/>
    <col min="4098" max="4098" width="9" bestFit="1" customWidth="1"/>
    <col min="4099" max="4099" width="14.25" bestFit="1" customWidth="1"/>
    <col min="4100" max="4100" width="13.125" bestFit="1" customWidth="1"/>
    <col min="4101" max="4101" width="10.875" bestFit="1" customWidth="1"/>
    <col min="4102" max="4102" width="14.25" bestFit="1" customWidth="1"/>
    <col min="4103" max="4103" width="12.875" bestFit="1" customWidth="1"/>
    <col min="4353" max="4353" width="9" customWidth="1"/>
    <col min="4354" max="4354" width="9" bestFit="1" customWidth="1"/>
    <col min="4355" max="4355" width="14.25" bestFit="1" customWidth="1"/>
    <col min="4356" max="4356" width="13.125" bestFit="1" customWidth="1"/>
    <col min="4357" max="4357" width="10.875" bestFit="1" customWidth="1"/>
    <col min="4358" max="4358" width="14.25" bestFit="1" customWidth="1"/>
    <col min="4359" max="4359" width="12.875" bestFit="1" customWidth="1"/>
    <col min="4609" max="4609" width="9" customWidth="1"/>
    <col min="4610" max="4610" width="9" bestFit="1" customWidth="1"/>
    <col min="4611" max="4611" width="14.25" bestFit="1" customWidth="1"/>
    <col min="4612" max="4612" width="13.125" bestFit="1" customWidth="1"/>
    <col min="4613" max="4613" width="10.875" bestFit="1" customWidth="1"/>
    <col min="4614" max="4614" width="14.25" bestFit="1" customWidth="1"/>
    <col min="4615" max="4615" width="12.875" bestFit="1" customWidth="1"/>
    <col min="4865" max="4865" width="9" customWidth="1"/>
    <col min="4866" max="4866" width="9" bestFit="1" customWidth="1"/>
    <col min="4867" max="4867" width="14.25" bestFit="1" customWidth="1"/>
    <col min="4868" max="4868" width="13.125" bestFit="1" customWidth="1"/>
    <col min="4869" max="4869" width="10.875" bestFit="1" customWidth="1"/>
    <col min="4870" max="4870" width="14.25" bestFit="1" customWidth="1"/>
    <col min="4871" max="4871" width="12.875" bestFit="1" customWidth="1"/>
    <col min="5121" max="5121" width="9" customWidth="1"/>
    <col min="5122" max="5122" width="9" bestFit="1" customWidth="1"/>
    <col min="5123" max="5123" width="14.25" bestFit="1" customWidth="1"/>
    <col min="5124" max="5124" width="13.125" bestFit="1" customWidth="1"/>
    <col min="5125" max="5125" width="10.875" bestFit="1" customWidth="1"/>
    <col min="5126" max="5126" width="14.25" bestFit="1" customWidth="1"/>
    <col min="5127" max="5127" width="12.875" bestFit="1" customWidth="1"/>
    <col min="5377" max="5377" width="9" customWidth="1"/>
    <col min="5378" max="5378" width="9" bestFit="1" customWidth="1"/>
    <col min="5379" max="5379" width="14.25" bestFit="1" customWidth="1"/>
    <col min="5380" max="5380" width="13.125" bestFit="1" customWidth="1"/>
    <col min="5381" max="5381" width="10.875" bestFit="1" customWidth="1"/>
    <col min="5382" max="5382" width="14.25" bestFit="1" customWidth="1"/>
    <col min="5383" max="5383" width="12.875" bestFit="1" customWidth="1"/>
    <col min="5633" max="5633" width="9" customWidth="1"/>
    <col min="5634" max="5634" width="9" bestFit="1" customWidth="1"/>
    <col min="5635" max="5635" width="14.25" bestFit="1" customWidth="1"/>
    <col min="5636" max="5636" width="13.125" bestFit="1" customWidth="1"/>
    <col min="5637" max="5637" width="10.875" bestFit="1" customWidth="1"/>
    <col min="5638" max="5638" width="14.25" bestFit="1" customWidth="1"/>
    <col min="5639" max="5639" width="12.875" bestFit="1" customWidth="1"/>
    <col min="5889" max="5889" width="9" customWidth="1"/>
    <col min="5890" max="5890" width="9" bestFit="1" customWidth="1"/>
    <col min="5891" max="5891" width="14.25" bestFit="1" customWidth="1"/>
    <col min="5892" max="5892" width="13.125" bestFit="1" customWidth="1"/>
    <col min="5893" max="5893" width="10.875" bestFit="1" customWidth="1"/>
    <col min="5894" max="5894" width="14.25" bestFit="1" customWidth="1"/>
    <col min="5895" max="5895" width="12.875" bestFit="1" customWidth="1"/>
    <col min="6145" max="6145" width="9" customWidth="1"/>
    <col min="6146" max="6146" width="9" bestFit="1" customWidth="1"/>
    <col min="6147" max="6147" width="14.25" bestFit="1" customWidth="1"/>
    <col min="6148" max="6148" width="13.125" bestFit="1" customWidth="1"/>
    <col min="6149" max="6149" width="10.875" bestFit="1" customWidth="1"/>
    <col min="6150" max="6150" width="14.25" bestFit="1" customWidth="1"/>
    <col min="6151" max="6151" width="12.875" bestFit="1" customWidth="1"/>
    <col min="6401" max="6401" width="9" customWidth="1"/>
    <col min="6402" max="6402" width="9" bestFit="1" customWidth="1"/>
    <col min="6403" max="6403" width="14.25" bestFit="1" customWidth="1"/>
    <col min="6404" max="6404" width="13.125" bestFit="1" customWidth="1"/>
    <col min="6405" max="6405" width="10.875" bestFit="1" customWidth="1"/>
    <col min="6406" max="6406" width="14.25" bestFit="1" customWidth="1"/>
    <col min="6407" max="6407" width="12.875" bestFit="1" customWidth="1"/>
    <col min="6657" max="6657" width="9" customWidth="1"/>
    <col min="6658" max="6658" width="9" bestFit="1" customWidth="1"/>
    <col min="6659" max="6659" width="14.25" bestFit="1" customWidth="1"/>
    <col min="6660" max="6660" width="13.125" bestFit="1" customWidth="1"/>
    <col min="6661" max="6661" width="10.875" bestFit="1" customWidth="1"/>
    <col min="6662" max="6662" width="14.25" bestFit="1" customWidth="1"/>
    <col min="6663" max="6663" width="12.875" bestFit="1" customWidth="1"/>
    <col min="6913" max="6913" width="9" customWidth="1"/>
    <col min="6914" max="6914" width="9" bestFit="1" customWidth="1"/>
    <col min="6915" max="6915" width="14.25" bestFit="1" customWidth="1"/>
    <col min="6916" max="6916" width="13.125" bestFit="1" customWidth="1"/>
    <col min="6917" max="6917" width="10.875" bestFit="1" customWidth="1"/>
    <col min="6918" max="6918" width="14.25" bestFit="1" customWidth="1"/>
    <col min="6919" max="6919" width="12.875" bestFit="1" customWidth="1"/>
    <col min="7169" max="7169" width="9" customWidth="1"/>
    <col min="7170" max="7170" width="9" bestFit="1" customWidth="1"/>
    <col min="7171" max="7171" width="14.25" bestFit="1" customWidth="1"/>
    <col min="7172" max="7172" width="13.125" bestFit="1" customWidth="1"/>
    <col min="7173" max="7173" width="10.875" bestFit="1" customWidth="1"/>
    <col min="7174" max="7174" width="14.25" bestFit="1" customWidth="1"/>
    <col min="7175" max="7175" width="12.875" bestFit="1" customWidth="1"/>
    <col min="7425" max="7425" width="9" customWidth="1"/>
    <col min="7426" max="7426" width="9" bestFit="1" customWidth="1"/>
    <col min="7427" max="7427" width="14.25" bestFit="1" customWidth="1"/>
    <col min="7428" max="7428" width="13.125" bestFit="1" customWidth="1"/>
    <col min="7429" max="7429" width="10.875" bestFit="1" customWidth="1"/>
    <col min="7430" max="7430" width="14.25" bestFit="1" customWidth="1"/>
    <col min="7431" max="7431" width="12.875" bestFit="1" customWidth="1"/>
    <col min="7681" max="7681" width="9" customWidth="1"/>
    <col min="7682" max="7682" width="9" bestFit="1" customWidth="1"/>
    <col min="7683" max="7683" width="14.25" bestFit="1" customWidth="1"/>
    <col min="7684" max="7684" width="13.125" bestFit="1" customWidth="1"/>
    <col min="7685" max="7685" width="10.875" bestFit="1" customWidth="1"/>
    <col min="7686" max="7686" width="14.25" bestFit="1" customWidth="1"/>
    <col min="7687" max="7687" width="12.875" bestFit="1" customWidth="1"/>
    <col min="7937" max="7937" width="9" customWidth="1"/>
    <col min="7938" max="7938" width="9" bestFit="1" customWidth="1"/>
    <col min="7939" max="7939" width="14.25" bestFit="1" customWidth="1"/>
    <col min="7940" max="7940" width="13.125" bestFit="1" customWidth="1"/>
    <col min="7941" max="7941" width="10.875" bestFit="1" customWidth="1"/>
    <col min="7942" max="7942" width="14.25" bestFit="1" customWidth="1"/>
    <col min="7943" max="7943" width="12.875" bestFit="1" customWidth="1"/>
    <col min="8193" max="8193" width="9" customWidth="1"/>
    <col min="8194" max="8194" width="9" bestFit="1" customWidth="1"/>
    <col min="8195" max="8195" width="14.25" bestFit="1" customWidth="1"/>
    <col min="8196" max="8196" width="13.125" bestFit="1" customWidth="1"/>
    <col min="8197" max="8197" width="10.875" bestFit="1" customWidth="1"/>
    <col min="8198" max="8198" width="14.25" bestFit="1" customWidth="1"/>
    <col min="8199" max="8199" width="12.875" bestFit="1" customWidth="1"/>
    <col min="8449" max="8449" width="9" customWidth="1"/>
    <col min="8450" max="8450" width="9" bestFit="1" customWidth="1"/>
    <col min="8451" max="8451" width="14.25" bestFit="1" customWidth="1"/>
    <col min="8452" max="8452" width="13.125" bestFit="1" customWidth="1"/>
    <col min="8453" max="8453" width="10.875" bestFit="1" customWidth="1"/>
    <col min="8454" max="8454" width="14.25" bestFit="1" customWidth="1"/>
    <col min="8455" max="8455" width="12.875" bestFit="1" customWidth="1"/>
    <col min="8705" max="8705" width="9" customWidth="1"/>
    <col min="8706" max="8706" width="9" bestFit="1" customWidth="1"/>
    <col min="8707" max="8707" width="14.25" bestFit="1" customWidth="1"/>
    <col min="8708" max="8708" width="13.125" bestFit="1" customWidth="1"/>
    <col min="8709" max="8709" width="10.875" bestFit="1" customWidth="1"/>
    <col min="8710" max="8710" width="14.25" bestFit="1" customWidth="1"/>
    <col min="8711" max="8711" width="12.875" bestFit="1" customWidth="1"/>
    <col min="8961" max="8961" width="9" customWidth="1"/>
    <col min="8962" max="8962" width="9" bestFit="1" customWidth="1"/>
    <col min="8963" max="8963" width="14.25" bestFit="1" customWidth="1"/>
    <col min="8964" max="8964" width="13.125" bestFit="1" customWidth="1"/>
    <col min="8965" max="8965" width="10.875" bestFit="1" customWidth="1"/>
    <col min="8966" max="8966" width="14.25" bestFit="1" customWidth="1"/>
    <col min="8967" max="8967" width="12.875" bestFit="1" customWidth="1"/>
    <col min="9217" max="9217" width="9" customWidth="1"/>
    <col min="9218" max="9218" width="9" bestFit="1" customWidth="1"/>
    <col min="9219" max="9219" width="14.25" bestFit="1" customWidth="1"/>
    <col min="9220" max="9220" width="13.125" bestFit="1" customWidth="1"/>
    <col min="9221" max="9221" width="10.875" bestFit="1" customWidth="1"/>
    <col min="9222" max="9222" width="14.25" bestFit="1" customWidth="1"/>
    <col min="9223" max="9223" width="12.875" bestFit="1" customWidth="1"/>
    <col min="9473" max="9473" width="9" customWidth="1"/>
    <col min="9474" max="9474" width="9" bestFit="1" customWidth="1"/>
    <col min="9475" max="9475" width="14.25" bestFit="1" customWidth="1"/>
    <col min="9476" max="9476" width="13.125" bestFit="1" customWidth="1"/>
    <col min="9477" max="9477" width="10.875" bestFit="1" customWidth="1"/>
    <col min="9478" max="9478" width="14.25" bestFit="1" customWidth="1"/>
    <col min="9479" max="9479" width="12.875" bestFit="1" customWidth="1"/>
    <col min="9729" max="9729" width="9" customWidth="1"/>
    <col min="9730" max="9730" width="9" bestFit="1" customWidth="1"/>
    <col min="9731" max="9731" width="14.25" bestFit="1" customWidth="1"/>
    <col min="9732" max="9732" width="13.125" bestFit="1" customWidth="1"/>
    <col min="9733" max="9733" width="10.875" bestFit="1" customWidth="1"/>
    <col min="9734" max="9734" width="14.25" bestFit="1" customWidth="1"/>
    <col min="9735" max="9735" width="12.875" bestFit="1" customWidth="1"/>
    <col min="9985" max="9985" width="9" customWidth="1"/>
    <col min="9986" max="9986" width="9" bestFit="1" customWidth="1"/>
    <col min="9987" max="9987" width="14.25" bestFit="1" customWidth="1"/>
    <col min="9988" max="9988" width="13.125" bestFit="1" customWidth="1"/>
    <col min="9989" max="9989" width="10.875" bestFit="1" customWidth="1"/>
    <col min="9990" max="9990" width="14.25" bestFit="1" customWidth="1"/>
    <col min="9991" max="9991" width="12.875" bestFit="1" customWidth="1"/>
    <col min="10241" max="10241" width="9" customWidth="1"/>
    <col min="10242" max="10242" width="9" bestFit="1" customWidth="1"/>
    <col min="10243" max="10243" width="14.25" bestFit="1" customWidth="1"/>
    <col min="10244" max="10244" width="13.125" bestFit="1" customWidth="1"/>
    <col min="10245" max="10245" width="10.875" bestFit="1" customWidth="1"/>
    <col min="10246" max="10246" width="14.25" bestFit="1" customWidth="1"/>
    <col min="10247" max="10247" width="12.875" bestFit="1" customWidth="1"/>
    <col min="10497" max="10497" width="9" customWidth="1"/>
    <col min="10498" max="10498" width="9" bestFit="1" customWidth="1"/>
    <col min="10499" max="10499" width="14.25" bestFit="1" customWidth="1"/>
    <col min="10500" max="10500" width="13.125" bestFit="1" customWidth="1"/>
    <col min="10501" max="10501" width="10.875" bestFit="1" customWidth="1"/>
    <col min="10502" max="10502" width="14.25" bestFit="1" customWidth="1"/>
    <col min="10503" max="10503" width="12.875" bestFit="1" customWidth="1"/>
    <col min="10753" max="10753" width="9" customWidth="1"/>
    <col min="10754" max="10754" width="9" bestFit="1" customWidth="1"/>
    <col min="10755" max="10755" width="14.25" bestFit="1" customWidth="1"/>
    <col min="10756" max="10756" width="13.125" bestFit="1" customWidth="1"/>
    <col min="10757" max="10757" width="10.875" bestFit="1" customWidth="1"/>
    <col min="10758" max="10758" width="14.25" bestFit="1" customWidth="1"/>
    <col min="10759" max="10759" width="12.875" bestFit="1" customWidth="1"/>
    <col min="11009" max="11009" width="9" customWidth="1"/>
    <col min="11010" max="11010" width="9" bestFit="1" customWidth="1"/>
    <col min="11011" max="11011" width="14.25" bestFit="1" customWidth="1"/>
    <col min="11012" max="11012" width="13.125" bestFit="1" customWidth="1"/>
    <col min="11013" max="11013" width="10.875" bestFit="1" customWidth="1"/>
    <col min="11014" max="11014" width="14.25" bestFit="1" customWidth="1"/>
    <col min="11015" max="11015" width="12.875" bestFit="1" customWidth="1"/>
    <col min="11265" max="11265" width="9" customWidth="1"/>
    <col min="11266" max="11266" width="9" bestFit="1" customWidth="1"/>
    <col min="11267" max="11267" width="14.25" bestFit="1" customWidth="1"/>
    <col min="11268" max="11268" width="13.125" bestFit="1" customWidth="1"/>
    <col min="11269" max="11269" width="10.875" bestFit="1" customWidth="1"/>
    <col min="11270" max="11270" width="14.25" bestFit="1" customWidth="1"/>
    <col min="11271" max="11271" width="12.875" bestFit="1" customWidth="1"/>
    <col min="11521" max="11521" width="9" customWidth="1"/>
    <col min="11522" max="11522" width="9" bestFit="1" customWidth="1"/>
    <col min="11523" max="11523" width="14.25" bestFit="1" customWidth="1"/>
    <col min="11524" max="11524" width="13.125" bestFit="1" customWidth="1"/>
    <col min="11525" max="11525" width="10.875" bestFit="1" customWidth="1"/>
    <col min="11526" max="11526" width="14.25" bestFit="1" customWidth="1"/>
    <col min="11527" max="11527" width="12.875" bestFit="1" customWidth="1"/>
    <col min="11777" max="11777" width="9" customWidth="1"/>
    <col min="11778" max="11778" width="9" bestFit="1" customWidth="1"/>
    <col min="11779" max="11779" width="14.25" bestFit="1" customWidth="1"/>
    <col min="11780" max="11780" width="13.125" bestFit="1" customWidth="1"/>
    <col min="11781" max="11781" width="10.875" bestFit="1" customWidth="1"/>
    <col min="11782" max="11782" width="14.25" bestFit="1" customWidth="1"/>
    <col min="11783" max="11783" width="12.875" bestFit="1" customWidth="1"/>
    <col min="12033" max="12033" width="9" customWidth="1"/>
    <col min="12034" max="12034" width="9" bestFit="1" customWidth="1"/>
    <col min="12035" max="12035" width="14.25" bestFit="1" customWidth="1"/>
    <col min="12036" max="12036" width="13.125" bestFit="1" customWidth="1"/>
    <col min="12037" max="12037" width="10.875" bestFit="1" customWidth="1"/>
    <col min="12038" max="12038" width="14.25" bestFit="1" customWidth="1"/>
    <col min="12039" max="12039" width="12.875" bestFit="1" customWidth="1"/>
    <col min="12289" max="12289" width="9" customWidth="1"/>
    <col min="12290" max="12290" width="9" bestFit="1" customWidth="1"/>
    <col min="12291" max="12291" width="14.25" bestFit="1" customWidth="1"/>
    <col min="12292" max="12292" width="13.125" bestFit="1" customWidth="1"/>
    <col min="12293" max="12293" width="10.875" bestFit="1" customWidth="1"/>
    <col min="12294" max="12294" width="14.25" bestFit="1" customWidth="1"/>
    <col min="12295" max="12295" width="12.875" bestFit="1" customWidth="1"/>
    <col min="12545" max="12545" width="9" customWidth="1"/>
    <col min="12546" max="12546" width="9" bestFit="1" customWidth="1"/>
    <col min="12547" max="12547" width="14.25" bestFit="1" customWidth="1"/>
    <col min="12548" max="12548" width="13.125" bestFit="1" customWidth="1"/>
    <col min="12549" max="12549" width="10.875" bestFit="1" customWidth="1"/>
    <col min="12550" max="12550" width="14.25" bestFit="1" customWidth="1"/>
    <col min="12551" max="12551" width="12.875" bestFit="1" customWidth="1"/>
    <col min="12801" max="12801" width="9" customWidth="1"/>
    <col min="12802" max="12802" width="9" bestFit="1" customWidth="1"/>
    <col min="12803" max="12803" width="14.25" bestFit="1" customWidth="1"/>
    <col min="12804" max="12804" width="13.125" bestFit="1" customWidth="1"/>
    <col min="12805" max="12805" width="10.875" bestFit="1" customWidth="1"/>
    <col min="12806" max="12806" width="14.25" bestFit="1" customWidth="1"/>
    <col min="12807" max="12807" width="12.875" bestFit="1" customWidth="1"/>
    <col min="13057" max="13057" width="9" customWidth="1"/>
    <col min="13058" max="13058" width="9" bestFit="1" customWidth="1"/>
    <col min="13059" max="13059" width="14.25" bestFit="1" customWidth="1"/>
    <col min="13060" max="13060" width="13.125" bestFit="1" customWidth="1"/>
    <col min="13061" max="13061" width="10.875" bestFit="1" customWidth="1"/>
    <col min="13062" max="13062" width="14.25" bestFit="1" customWidth="1"/>
    <col min="13063" max="13063" width="12.875" bestFit="1" customWidth="1"/>
    <col min="13313" max="13313" width="9" customWidth="1"/>
    <col min="13314" max="13314" width="9" bestFit="1" customWidth="1"/>
    <col min="13315" max="13315" width="14.25" bestFit="1" customWidth="1"/>
    <col min="13316" max="13316" width="13.125" bestFit="1" customWidth="1"/>
    <col min="13317" max="13317" width="10.875" bestFit="1" customWidth="1"/>
    <col min="13318" max="13318" width="14.25" bestFit="1" customWidth="1"/>
    <col min="13319" max="13319" width="12.875" bestFit="1" customWidth="1"/>
    <col min="13569" max="13569" width="9" customWidth="1"/>
    <col min="13570" max="13570" width="9" bestFit="1" customWidth="1"/>
    <col min="13571" max="13571" width="14.25" bestFit="1" customWidth="1"/>
    <col min="13572" max="13572" width="13.125" bestFit="1" customWidth="1"/>
    <col min="13573" max="13573" width="10.875" bestFit="1" customWidth="1"/>
    <col min="13574" max="13574" width="14.25" bestFit="1" customWidth="1"/>
    <col min="13575" max="13575" width="12.875" bestFit="1" customWidth="1"/>
    <col min="13825" max="13825" width="9" customWidth="1"/>
    <col min="13826" max="13826" width="9" bestFit="1" customWidth="1"/>
    <col min="13827" max="13827" width="14.25" bestFit="1" customWidth="1"/>
    <col min="13828" max="13828" width="13.125" bestFit="1" customWidth="1"/>
    <col min="13829" max="13829" width="10.875" bestFit="1" customWidth="1"/>
    <col min="13830" max="13830" width="14.25" bestFit="1" customWidth="1"/>
    <col min="13831" max="13831" width="12.875" bestFit="1" customWidth="1"/>
    <col min="14081" max="14081" width="9" customWidth="1"/>
    <col min="14082" max="14082" width="9" bestFit="1" customWidth="1"/>
    <col min="14083" max="14083" width="14.25" bestFit="1" customWidth="1"/>
    <col min="14084" max="14084" width="13.125" bestFit="1" customWidth="1"/>
    <col min="14085" max="14085" width="10.875" bestFit="1" customWidth="1"/>
    <col min="14086" max="14086" width="14.25" bestFit="1" customWidth="1"/>
    <col min="14087" max="14087" width="12.875" bestFit="1" customWidth="1"/>
    <col min="14337" max="14337" width="9" customWidth="1"/>
    <col min="14338" max="14338" width="9" bestFit="1" customWidth="1"/>
    <col min="14339" max="14339" width="14.25" bestFit="1" customWidth="1"/>
    <col min="14340" max="14340" width="13.125" bestFit="1" customWidth="1"/>
    <col min="14341" max="14341" width="10.875" bestFit="1" customWidth="1"/>
    <col min="14342" max="14342" width="14.25" bestFit="1" customWidth="1"/>
    <col min="14343" max="14343" width="12.875" bestFit="1" customWidth="1"/>
    <col min="14593" max="14593" width="9" customWidth="1"/>
    <col min="14594" max="14594" width="9" bestFit="1" customWidth="1"/>
    <col min="14595" max="14595" width="14.25" bestFit="1" customWidth="1"/>
    <col min="14596" max="14596" width="13.125" bestFit="1" customWidth="1"/>
    <col min="14597" max="14597" width="10.875" bestFit="1" customWidth="1"/>
    <col min="14598" max="14598" width="14.25" bestFit="1" customWidth="1"/>
    <col min="14599" max="14599" width="12.875" bestFit="1" customWidth="1"/>
    <col min="14849" max="14849" width="9" customWidth="1"/>
    <col min="14850" max="14850" width="9" bestFit="1" customWidth="1"/>
    <col min="14851" max="14851" width="14.25" bestFit="1" customWidth="1"/>
    <col min="14852" max="14852" width="13.125" bestFit="1" customWidth="1"/>
    <col min="14853" max="14853" width="10.875" bestFit="1" customWidth="1"/>
    <col min="14854" max="14854" width="14.25" bestFit="1" customWidth="1"/>
    <col min="14855" max="14855" width="12.875" bestFit="1" customWidth="1"/>
    <col min="15105" max="15105" width="9" customWidth="1"/>
    <col min="15106" max="15106" width="9" bestFit="1" customWidth="1"/>
    <col min="15107" max="15107" width="14.25" bestFit="1" customWidth="1"/>
    <col min="15108" max="15108" width="13.125" bestFit="1" customWidth="1"/>
    <col min="15109" max="15109" width="10.875" bestFit="1" customWidth="1"/>
    <col min="15110" max="15110" width="14.25" bestFit="1" customWidth="1"/>
    <col min="15111" max="15111" width="12.875" bestFit="1" customWidth="1"/>
    <col min="15361" max="15361" width="9" customWidth="1"/>
    <col min="15362" max="15362" width="9" bestFit="1" customWidth="1"/>
    <col min="15363" max="15363" width="14.25" bestFit="1" customWidth="1"/>
    <col min="15364" max="15364" width="13.125" bestFit="1" customWidth="1"/>
    <col min="15365" max="15365" width="10.875" bestFit="1" customWidth="1"/>
    <col min="15366" max="15366" width="14.25" bestFit="1" customWidth="1"/>
    <col min="15367" max="15367" width="12.875" bestFit="1" customWidth="1"/>
    <col min="15617" max="15617" width="9" customWidth="1"/>
    <col min="15618" max="15618" width="9" bestFit="1" customWidth="1"/>
    <col min="15619" max="15619" width="14.25" bestFit="1" customWidth="1"/>
    <col min="15620" max="15620" width="13.125" bestFit="1" customWidth="1"/>
    <col min="15621" max="15621" width="10.875" bestFit="1" customWidth="1"/>
    <col min="15622" max="15622" width="14.25" bestFit="1" customWidth="1"/>
    <col min="15623" max="15623" width="12.875" bestFit="1" customWidth="1"/>
    <col min="15873" max="15873" width="9" customWidth="1"/>
    <col min="15874" max="15874" width="9" bestFit="1" customWidth="1"/>
    <col min="15875" max="15875" width="14.25" bestFit="1" customWidth="1"/>
    <col min="15876" max="15876" width="13.125" bestFit="1" customWidth="1"/>
    <col min="15877" max="15877" width="10.875" bestFit="1" customWidth="1"/>
    <col min="15878" max="15878" width="14.25" bestFit="1" customWidth="1"/>
    <col min="15879" max="15879" width="12.875" bestFit="1" customWidth="1"/>
    <col min="16129" max="16129" width="9" customWidth="1"/>
    <col min="16130" max="16130" width="9" bestFit="1" customWidth="1"/>
    <col min="16131" max="16131" width="14.25" bestFit="1" customWidth="1"/>
    <col min="16132" max="16132" width="13.125" bestFit="1" customWidth="1"/>
    <col min="16133" max="16133" width="10.875" bestFit="1" customWidth="1"/>
    <col min="16134" max="16134" width="14.25" bestFit="1" customWidth="1"/>
    <col min="16135" max="16135" width="12.875" bestFit="1" customWidth="1"/>
  </cols>
  <sheetData>
    <row r="1" spans="1:7" ht="19.5">
      <c r="A1" s="46" t="s">
        <v>240</v>
      </c>
      <c r="B1" s="46"/>
      <c r="C1" s="46"/>
      <c r="D1" s="46"/>
      <c r="E1" s="46"/>
      <c r="F1" s="46"/>
      <c r="G1" s="46"/>
    </row>
    <row r="3" spans="1:7">
      <c r="A3" s="41" t="s">
        <v>0</v>
      </c>
      <c r="B3" s="41" t="s">
        <v>1</v>
      </c>
      <c r="C3" s="41" t="s">
        <v>2</v>
      </c>
      <c r="D3" s="41" t="s">
        <v>3</v>
      </c>
      <c r="E3" s="41" t="s">
        <v>4</v>
      </c>
      <c r="F3" s="41" t="s">
        <v>5</v>
      </c>
      <c r="G3" s="41" t="s">
        <v>6</v>
      </c>
    </row>
    <row r="4" spans="1:7">
      <c r="A4" s="36" t="s">
        <v>7</v>
      </c>
      <c r="B4" s="36" t="s">
        <v>8</v>
      </c>
      <c r="C4" s="36" t="s">
        <v>9</v>
      </c>
      <c r="D4" s="36" t="s">
        <v>10</v>
      </c>
      <c r="E4" s="42">
        <v>16000</v>
      </c>
      <c r="F4" s="42">
        <v>3852</v>
      </c>
      <c r="G4" s="43">
        <f>E4+F4*7*60</f>
        <v>1633840</v>
      </c>
    </row>
    <row r="5" spans="1:7">
      <c r="A5" s="36" t="s">
        <v>11</v>
      </c>
      <c r="B5" s="36" t="s">
        <v>12</v>
      </c>
      <c r="C5" s="36" t="s">
        <v>13</v>
      </c>
      <c r="D5" s="36" t="s">
        <v>14</v>
      </c>
      <c r="E5" s="42">
        <v>25000</v>
      </c>
      <c r="F5" s="42">
        <v>4140</v>
      </c>
      <c r="G5" s="43">
        <f t="shared" ref="G5:G10" si="0">E5+F5*7*60</f>
        <v>1763800</v>
      </c>
    </row>
    <row r="6" spans="1:7">
      <c r="A6" s="36" t="s">
        <v>15</v>
      </c>
      <c r="B6" s="36" t="s">
        <v>16</v>
      </c>
      <c r="C6" s="36" t="s">
        <v>17</v>
      </c>
      <c r="D6" s="36" t="s">
        <v>18</v>
      </c>
      <c r="E6" s="42">
        <v>52000</v>
      </c>
      <c r="F6" s="42">
        <v>6288</v>
      </c>
      <c r="G6" s="43">
        <f t="shared" si="0"/>
        <v>2692960</v>
      </c>
    </row>
    <row r="7" spans="1:7">
      <c r="A7" s="36" t="s">
        <v>19</v>
      </c>
      <c r="B7" s="36" t="s">
        <v>20</v>
      </c>
      <c r="C7" s="36" t="s">
        <v>21</v>
      </c>
      <c r="D7" s="36" t="s">
        <v>22</v>
      </c>
      <c r="E7" s="42">
        <v>20000</v>
      </c>
      <c r="F7" s="42">
        <v>5076</v>
      </c>
      <c r="G7" s="43">
        <f t="shared" si="0"/>
        <v>2151920</v>
      </c>
    </row>
    <row r="8" spans="1:7">
      <c r="A8" s="36" t="s">
        <v>23</v>
      </c>
      <c r="B8" s="36" t="s">
        <v>24</v>
      </c>
      <c r="C8" s="36" t="s">
        <v>25</v>
      </c>
      <c r="D8" s="36" t="s">
        <v>26</v>
      </c>
      <c r="E8" s="42">
        <v>30000</v>
      </c>
      <c r="F8" s="42">
        <v>2520</v>
      </c>
      <c r="G8" s="43">
        <f t="shared" si="0"/>
        <v>1088400</v>
      </c>
    </row>
    <row r="9" spans="1:7">
      <c r="A9" s="36" t="s">
        <v>27</v>
      </c>
      <c r="B9" s="36" t="s">
        <v>28</v>
      </c>
      <c r="C9" s="36" t="s">
        <v>29</v>
      </c>
      <c r="D9" s="36" t="s">
        <v>10</v>
      </c>
      <c r="E9" s="42">
        <v>16000</v>
      </c>
      <c r="F9" s="42">
        <v>1884</v>
      </c>
      <c r="G9" s="43">
        <f t="shared" si="0"/>
        <v>807280</v>
      </c>
    </row>
    <row r="10" spans="1:7">
      <c r="A10" s="36" t="s">
        <v>30</v>
      </c>
      <c r="B10" s="36" t="s">
        <v>31</v>
      </c>
      <c r="C10" s="36" t="s">
        <v>32</v>
      </c>
      <c r="D10" s="36" t="s">
        <v>14</v>
      </c>
      <c r="E10" s="42">
        <v>25000</v>
      </c>
      <c r="F10" s="42">
        <v>1584</v>
      </c>
      <c r="G10" s="43">
        <f t="shared" si="0"/>
        <v>690280</v>
      </c>
    </row>
    <row r="11" spans="1:7">
      <c r="A11" s="45" t="s">
        <v>33</v>
      </c>
      <c r="B11" s="45"/>
      <c r="C11" s="44"/>
      <c r="D11" s="44"/>
      <c r="E11" s="42">
        <f>AVERAGE(E4:E10)</f>
        <v>26285.714285714286</v>
      </c>
      <c r="F11" s="42">
        <f t="shared" ref="F11:G11" si="1">AVERAGE(F4:F10)</f>
        <v>3620.5714285714284</v>
      </c>
      <c r="G11" s="43">
        <f t="shared" si="1"/>
        <v>1546925.7142857143</v>
      </c>
    </row>
  </sheetData>
  <mergeCells count="2">
    <mergeCell ref="A11:B11"/>
    <mergeCell ref="A1:G1"/>
  </mergeCells>
  <phoneticPr fontId="1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12"/>
  <sheetViews>
    <sheetView workbookViewId="0">
      <selection sqref="A1:I1"/>
    </sheetView>
  </sheetViews>
  <sheetFormatPr defaultRowHeight="16.5"/>
  <cols>
    <col min="1" max="3" width="9" style="1" customWidth="1"/>
    <col min="4" max="4" width="13" style="1" bestFit="1" customWidth="1"/>
    <col min="5" max="5" width="11" style="1" bestFit="1" customWidth="1"/>
    <col min="6" max="9" width="9" style="1" customWidth="1"/>
    <col min="10" max="256" width="9" style="1"/>
    <col min="257" max="259" width="10" style="1" customWidth="1"/>
    <col min="260" max="260" width="11.75" style="1" bestFit="1" customWidth="1"/>
    <col min="261" max="261" width="11.125" style="1" bestFit="1" customWidth="1"/>
    <col min="262" max="265" width="10" style="1" customWidth="1"/>
    <col min="266" max="512" width="9" style="1"/>
    <col min="513" max="515" width="10" style="1" customWidth="1"/>
    <col min="516" max="516" width="11.75" style="1" bestFit="1" customWidth="1"/>
    <col min="517" max="517" width="11.125" style="1" bestFit="1" customWidth="1"/>
    <col min="518" max="521" width="10" style="1" customWidth="1"/>
    <col min="522" max="768" width="9" style="1"/>
    <col min="769" max="771" width="10" style="1" customWidth="1"/>
    <col min="772" max="772" width="11.75" style="1" bestFit="1" customWidth="1"/>
    <col min="773" max="773" width="11.125" style="1" bestFit="1" customWidth="1"/>
    <col min="774" max="777" width="10" style="1" customWidth="1"/>
    <col min="778" max="1024" width="9" style="1"/>
    <col min="1025" max="1027" width="10" style="1" customWidth="1"/>
    <col min="1028" max="1028" width="11.75" style="1" bestFit="1" customWidth="1"/>
    <col min="1029" max="1029" width="11.125" style="1" bestFit="1" customWidth="1"/>
    <col min="1030" max="1033" width="10" style="1" customWidth="1"/>
    <col min="1034" max="1280" width="9" style="1"/>
    <col min="1281" max="1283" width="10" style="1" customWidth="1"/>
    <col min="1284" max="1284" width="11.75" style="1" bestFit="1" customWidth="1"/>
    <col min="1285" max="1285" width="11.125" style="1" bestFit="1" customWidth="1"/>
    <col min="1286" max="1289" width="10" style="1" customWidth="1"/>
    <col min="1290" max="1536" width="9" style="1"/>
    <col min="1537" max="1539" width="10" style="1" customWidth="1"/>
    <col min="1540" max="1540" width="11.75" style="1" bestFit="1" customWidth="1"/>
    <col min="1541" max="1541" width="11.125" style="1" bestFit="1" customWidth="1"/>
    <col min="1542" max="1545" width="10" style="1" customWidth="1"/>
    <col min="1546" max="1792" width="9" style="1"/>
    <col min="1793" max="1795" width="10" style="1" customWidth="1"/>
    <col min="1796" max="1796" width="11.75" style="1" bestFit="1" customWidth="1"/>
    <col min="1797" max="1797" width="11.125" style="1" bestFit="1" customWidth="1"/>
    <col min="1798" max="1801" width="10" style="1" customWidth="1"/>
    <col min="1802" max="2048" width="9" style="1"/>
    <col min="2049" max="2051" width="10" style="1" customWidth="1"/>
    <col min="2052" max="2052" width="11.75" style="1" bestFit="1" customWidth="1"/>
    <col min="2053" max="2053" width="11.125" style="1" bestFit="1" customWidth="1"/>
    <col min="2054" max="2057" width="10" style="1" customWidth="1"/>
    <col min="2058" max="2304" width="9" style="1"/>
    <col min="2305" max="2307" width="10" style="1" customWidth="1"/>
    <col min="2308" max="2308" width="11.75" style="1" bestFit="1" customWidth="1"/>
    <col min="2309" max="2309" width="11.125" style="1" bestFit="1" customWidth="1"/>
    <col min="2310" max="2313" width="10" style="1" customWidth="1"/>
    <col min="2314" max="2560" width="9" style="1"/>
    <col min="2561" max="2563" width="10" style="1" customWidth="1"/>
    <col min="2564" max="2564" width="11.75" style="1" bestFit="1" customWidth="1"/>
    <col min="2565" max="2565" width="11.125" style="1" bestFit="1" customWidth="1"/>
    <col min="2566" max="2569" width="10" style="1" customWidth="1"/>
    <col min="2570" max="2816" width="9" style="1"/>
    <col min="2817" max="2819" width="10" style="1" customWidth="1"/>
    <col min="2820" max="2820" width="11.75" style="1" bestFit="1" customWidth="1"/>
    <col min="2821" max="2821" width="11.125" style="1" bestFit="1" customWidth="1"/>
    <col min="2822" max="2825" width="10" style="1" customWidth="1"/>
    <col min="2826" max="3072" width="9" style="1"/>
    <col min="3073" max="3075" width="10" style="1" customWidth="1"/>
    <col min="3076" max="3076" width="11.75" style="1" bestFit="1" customWidth="1"/>
    <col min="3077" max="3077" width="11.125" style="1" bestFit="1" customWidth="1"/>
    <col min="3078" max="3081" width="10" style="1" customWidth="1"/>
    <col min="3082" max="3328" width="9" style="1"/>
    <col min="3329" max="3331" width="10" style="1" customWidth="1"/>
    <col min="3332" max="3332" width="11.75" style="1" bestFit="1" customWidth="1"/>
    <col min="3333" max="3333" width="11.125" style="1" bestFit="1" customWidth="1"/>
    <col min="3334" max="3337" width="10" style="1" customWidth="1"/>
    <col min="3338" max="3584" width="9" style="1"/>
    <col min="3585" max="3587" width="10" style="1" customWidth="1"/>
    <col min="3588" max="3588" width="11.75" style="1" bestFit="1" customWidth="1"/>
    <col min="3589" max="3589" width="11.125" style="1" bestFit="1" customWidth="1"/>
    <col min="3590" max="3593" width="10" style="1" customWidth="1"/>
    <col min="3594" max="3840" width="9" style="1"/>
    <col min="3841" max="3843" width="10" style="1" customWidth="1"/>
    <col min="3844" max="3844" width="11.75" style="1" bestFit="1" customWidth="1"/>
    <col min="3845" max="3845" width="11.125" style="1" bestFit="1" customWidth="1"/>
    <col min="3846" max="3849" width="10" style="1" customWidth="1"/>
    <col min="3850" max="4096" width="9" style="1"/>
    <col min="4097" max="4099" width="10" style="1" customWidth="1"/>
    <col min="4100" max="4100" width="11.75" style="1" bestFit="1" customWidth="1"/>
    <col min="4101" max="4101" width="11.125" style="1" bestFit="1" customWidth="1"/>
    <col min="4102" max="4105" width="10" style="1" customWidth="1"/>
    <col min="4106" max="4352" width="9" style="1"/>
    <col min="4353" max="4355" width="10" style="1" customWidth="1"/>
    <col min="4356" max="4356" width="11.75" style="1" bestFit="1" customWidth="1"/>
    <col min="4357" max="4357" width="11.125" style="1" bestFit="1" customWidth="1"/>
    <col min="4358" max="4361" width="10" style="1" customWidth="1"/>
    <col min="4362" max="4608" width="9" style="1"/>
    <col min="4609" max="4611" width="10" style="1" customWidth="1"/>
    <col min="4612" max="4612" width="11.75" style="1" bestFit="1" customWidth="1"/>
    <col min="4613" max="4613" width="11.125" style="1" bestFit="1" customWidth="1"/>
    <col min="4614" max="4617" width="10" style="1" customWidth="1"/>
    <col min="4618" max="4864" width="9" style="1"/>
    <col min="4865" max="4867" width="10" style="1" customWidth="1"/>
    <col min="4868" max="4868" width="11.75" style="1" bestFit="1" customWidth="1"/>
    <col min="4869" max="4869" width="11.125" style="1" bestFit="1" customWidth="1"/>
    <col min="4870" max="4873" width="10" style="1" customWidth="1"/>
    <col min="4874" max="5120" width="9" style="1"/>
    <col min="5121" max="5123" width="10" style="1" customWidth="1"/>
    <col min="5124" max="5124" width="11.75" style="1" bestFit="1" customWidth="1"/>
    <col min="5125" max="5125" width="11.125" style="1" bestFit="1" customWidth="1"/>
    <col min="5126" max="5129" width="10" style="1" customWidth="1"/>
    <col min="5130" max="5376" width="9" style="1"/>
    <col min="5377" max="5379" width="10" style="1" customWidth="1"/>
    <col min="5380" max="5380" width="11.75" style="1" bestFit="1" customWidth="1"/>
    <col min="5381" max="5381" width="11.125" style="1" bestFit="1" customWidth="1"/>
    <col min="5382" max="5385" width="10" style="1" customWidth="1"/>
    <col min="5386" max="5632" width="9" style="1"/>
    <col min="5633" max="5635" width="10" style="1" customWidth="1"/>
    <col min="5636" max="5636" width="11.75" style="1" bestFit="1" customWidth="1"/>
    <col min="5637" max="5637" width="11.125" style="1" bestFit="1" customWidth="1"/>
    <col min="5638" max="5641" width="10" style="1" customWidth="1"/>
    <col min="5642" max="5888" width="9" style="1"/>
    <col min="5889" max="5891" width="10" style="1" customWidth="1"/>
    <col min="5892" max="5892" width="11.75" style="1" bestFit="1" customWidth="1"/>
    <col min="5893" max="5893" width="11.125" style="1" bestFit="1" customWidth="1"/>
    <col min="5894" max="5897" width="10" style="1" customWidth="1"/>
    <col min="5898" max="6144" width="9" style="1"/>
    <col min="6145" max="6147" width="10" style="1" customWidth="1"/>
    <col min="6148" max="6148" width="11.75" style="1" bestFit="1" customWidth="1"/>
    <col min="6149" max="6149" width="11.125" style="1" bestFit="1" customWidth="1"/>
    <col min="6150" max="6153" width="10" style="1" customWidth="1"/>
    <col min="6154" max="6400" width="9" style="1"/>
    <col min="6401" max="6403" width="10" style="1" customWidth="1"/>
    <col min="6404" max="6404" width="11.75" style="1" bestFit="1" customWidth="1"/>
    <col min="6405" max="6405" width="11.125" style="1" bestFit="1" customWidth="1"/>
    <col min="6406" max="6409" width="10" style="1" customWidth="1"/>
    <col min="6410" max="6656" width="9" style="1"/>
    <col min="6657" max="6659" width="10" style="1" customWidth="1"/>
    <col min="6660" max="6660" width="11.75" style="1" bestFit="1" customWidth="1"/>
    <col min="6661" max="6661" width="11.125" style="1" bestFit="1" customWidth="1"/>
    <col min="6662" max="6665" width="10" style="1" customWidth="1"/>
    <col min="6666" max="6912" width="9" style="1"/>
    <col min="6913" max="6915" width="10" style="1" customWidth="1"/>
    <col min="6916" max="6916" width="11.75" style="1" bestFit="1" customWidth="1"/>
    <col min="6917" max="6917" width="11.125" style="1" bestFit="1" customWidth="1"/>
    <col min="6918" max="6921" width="10" style="1" customWidth="1"/>
    <col min="6922" max="7168" width="9" style="1"/>
    <col min="7169" max="7171" width="10" style="1" customWidth="1"/>
    <col min="7172" max="7172" width="11.75" style="1" bestFit="1" customWidth="1"/>
    <col min="7173" max="7173" width="11.125" style="1" bestFit="1" customWidth="1"/>
    <col min="7174" max="7177" width="10" style="1" customWidth="1"/>
    <col min="7178" max="7424" width="9" style="1"/>
    <col min="7425" max="7427" width="10" style="1" customWidth="1"/>
    <col min="7428" max="7428" width="11.75" style="1" bestFit="1" customWidth="1"/>
    <col min="7429" max="7429" width="11.125" style="1" bestFit="1" customWidth="1"/>
    <col min="7430" max="7433" width="10" style="1" customWidth="1"/>
    <col min="7434" max="7680" width="9" style="1"/>
    <col min="7681" max="7683" width="10" style="1" customWidth="1"/>
    <col min="7684" max="7684" width="11.75" style="1" bestFit="1" customWidth="1"/>
    <col min="7685" max="7685" width="11.125" style="1" bestFit="1" customWidth="1"/>
    <col min="7686" max="7689" width="10" style="1" customWidth="1"/>
    <col min="7690" max="7936" width="9" style="1"/>
    <col min="7937" max="7939" width="10" style="1" customWidth="1"/>
    <col min="7940" max="7940" width="11.75" style="1" bestFit="1" customWidth="1"/>
    <col min="7941" max="7941" width="11.125" style="1" bestFit="1" customWidth="1"/>
    <col min="7942" max="7945" width="10" style="1" customWidth="1"/>
    <col min="7946" max="8192" width="9" style="1"/>
    <col min="8193" max="8195" width="10" style="1" customWidth="1"/>
    <col min="8196" max="8196" width="11.75" style="1" bestFit="1" customWidth="1"/>
    <col min="8197" max="8197" width="11.125" style="1" bestFit="1" customWidth="1"/>
    <col min="8198" max="8201" width="10" style="1" customWidth="1"/>
    <col min="8202" max="8448" width="9" style="1"/>
    <col min="8449" max="8451" width="10" style="1" customWidth="1"/>
    <col min="8452" max="8452" width="11.75" style="1" bestFit="1" customWidth="1"/>
    <col min="8453" max="8453" width="11.125" style="1" bestFit="1" customWidth="1"/>
    <col min="8454" max="8457" width="10" style="1" customWidth="1"/>
    <col min="8458" max="8704" width="9" style="1"/>
    <col min="8705" max="8707" width="10" style="1" customWidth="1"/>
    <col min="8708" max="8708" width="11.75" style="1" bestFit="1" customWidth="1"/>
    <col min="8709" max="8709" width="11.125" style="1" bestFit="1" customWidth="1"/>
    <col min="8710" max="8713" width="10" style="1" customWidth="1"/>
    <col min="8714" max="8960" width="9" style="1"/>
    <col min="8961" max="8963" width="10" style="1" customWidth="1"/>
    <col min="8964" max="8964" width="11.75" style="1" bestFit="1" customWidth="1"/>
    <col min="8965" max="8965" width="11.125" style="1" bestFit="1" customWidth="1"/>
    <col min="8966" max="8969" width="10" style="1" customWidth="1"/>
    <col min="8970" max="9216" width="9" style="1"/>
    <col min="9217" max="9219" width="10" style="1" customWidth="1"/>
    <col min="9220" max="9220" width="11.75" style="1" bestFit="1" customWidth="1"/>
    <col min="9221" max="9221" width="11.125" style="1" bestFit="1" customWidth="1"/>
    <col min="9222" max="9225" width="10" style="1" customWidth="1"/>
    <col min="9226" max="9472" width="9" style="1"/>
    <col min="9473" max="9475" width="10" style="1" customWidth="1"/>
    <col min="9476" max="9476" width="11.75" style="1" bestFit="1" customWidth="1"/>
    <col min="9477" max="9477" width="11.125" style="1" bestFit="1" customWidth="1"/>
    <col min="9478" max="9481" width="10" style="1" customWidth="1"/>
    <col min="9482" max="9728" width="9" style="1"/>
    <col min="9729" max="9731" width="10" style="1" customWidth="1"/>
    <col min="9732" max="9732" width="11.75" style="1" bestFit="1" customWidth="1"/>
    <col min="9733" max="9733" width="11.125" style="1" bestFit="1" customWidth="1"/>
    <col min="9734" max="9737" width="10" style="1" customWidth="1"/>
    <col min="9738" max="9984" width="9" style="1"/>
    <col min="9985" max="9987" width="10" style="1" customWidth="1"/>
    <col min="9988" max="9988" width="11.75" style="1" bestFit="1" customWidth="1"/>
    <col min="9989" max="9989" width="11.125" style="1" bestFit="1" customWidth="1"/>
    <col min="9990" max="9993" width="10" style="1" customWidth="1"/>
    <col min="9994" max="10240" width="9" style="1"/>
    <col min="10241" max="10243" width="10" style="1" customWidth="1"/>
    <col min="10244" max="10244" width="11.75" style="1" bestFit="1" customWidth="1"/>
    <col min="10245" max="10245" width="11.125" style="1" bestFit="1" customWidth="1"/>
    <col min="10246" max="10249" width="10" style="1" customWidth="1"/>
    <col min="10250" max="10496" width="9" style="1"/>
    <col min="10497" max="10499" width="10" style="1" customWidth="1"/>
    <col min="10500" max="10500" width="11.75" style="1" bestFit="1" customWidth="1"/>
    <col min="10501" max="10501" width="11.125" style="1" bestFit="1" customWidth="1"/>
    <col min="10502" max="10505" width="10" style="1" customWidth="1"/>
    <col min="10506" max="10752" width="9" style="1"/>
    <col min="10753" max="10755" width="10" style="1" customWidth="1"/>
    <col min="10756" max="10756" width="11.75" style="1" bestFit="1" customWidth="1"/>
    <col min="10757" max="10757" width="11.125" style="1" bestFit="1" customWidth="1"/>
    <col min="10758" max="10761" width="10" style="1" customWidth="1"/>
    <col min="10762" max="11008" width="9" style="1"/>
    <col min="11009" max="11011" width="10" style="1" customWidth="1"/>
    <col min="11012" max="11012" width="11.75" style="1" bestFit="1" customWidth="1"/>
    <col min="11013" max="11013" width="11.125" style="1" bestFit="1" customWidth="1"/>
    <col min="11014" max="11017" width="10" style="1" customWidth="1"/>
    <col min="11018" max="11264" width="9" style="1"/>
    <col min="11265" max="11267" width="10" style="1" customWidth="1"/>
    <col min="11268" max="11268" width="11.75" style="1" bestFit="1" customWidth="1"/>
    <col min="11269" max="11269" width="11.125" style="1" bestFit="1" customWidth="1"/>
    <col min="11270" max="11273" width="10" style="1" customWidth="1"/>
    <col min="11274" max="11520" width="9" style="1"/>
    <col min="11521" max="11523" width="10" style="1" customWidth="1"/>
    <col min="11524" max="11524" width="11.75" style="1" bestFit="1" customWidth="1"/>
    <col min="11525" max="11525" width="11.125" style="1" bestFit="1" customWidth="1"/>
    <col min="11526" max="11529" width="10" style="1" customWidth="1"/>
    <col min="11530" max="11776" width="9" style="1"/>
    <col min="11777" max="11779" width="10" style="1" customWidth="1"/>
    <col min="11780" max="11780" width="11.75" style="1" bestFit="1" customWidth="1"/>
    <col min="11781" max="11781" width="11.125" style="1" bestFit="1" customWidth="1"/>
    <col min="11782" max="11785" width="10" style="1" customWidth="1"/>
    <col min="11786" max="12032" width="9" style="1"/>
    <col min="12033" max="12035" width="10" style="1" customWidth="1"/>
    <col min="12036" max="12036" width="11.75" style="1" bestFit="1" customWidth="1"/>
    <col min="12037" max="12037" width="11.125" style="1" bestFit="1" customWidth="1"/>
    <col min="12038" max="12041" width="10" style="1" customWidth="1"/>
    <col min="12042" max="12288" width="9" style="1"/>
    <col min="12289" max="12291" width="10" style="1" customWidth="1"/>
    <col min="12292" max="12292" width="11.75" style="1" bestFit="1" customWidth="1"/>
    <col min="12293" max="12293" width="11.125" style="1" bestFit="1" customWidth="1"/>
    <col min="12294" max="12297" width="10" style="1" customWidth="1"/>
    <col min="12298" max="12544" width="9" style="1"/>
    <col min="12545" max="12547" width="10" style="1" customWidth="1"/>
    <col min="12548" max="12548" width="11.75" style="1" bestFit="1" customWidth="1"/>
    <col min="12549" max="12549" width="11.125" style="1" bestFit="1" customWidth="1"/>
    <col min="12550" max="12553" width="10" style="1" customWidth="1"/>
    <col min="12554" max="12800" width="9" style="1"/>
    <col min="12801" max="12803" width="10" style="1" customWidth="1"/>
    <col min="12804" max="12804" width="11.75" style="1" bestFit="1" customWidth="1"/>
    <col min="12805" max="12805" width="11.125" style="1" bestFit="1" customWidth="1"/>
    <col min="12806" max="12809" width="10" style="1" customWidth="1"/>
    <col min="12810" max="13056" width="9" style="1"/>
    <col min="13057" max="13059" width="10" style="1" customWidth="1"/>
    <col min="13060" max="13060" width="11.75" style="1" bestFit="1" customWidth="1"/>
    <col min="13061" max="13061" width="11.125" style="1" bestFit="1" customWidth="1"/>
    <col min="13062" max="13065" width="10" style="1" customWidth="1"/>
    <col min="13066" max="13312" width="9" style="1"/>
    <col min="13313" max="13315" width="10" style="1" customWidth="1"/>
    <col min="13316" max="13316" width="11.75" style="1" bestFit="1" customWidth="1"/>
    <col min="13317" max="13317" width="11.125" style="1" bestFit="1" customWidth="1"/>
    <col min="13318" max="13321" width="10" style="1" customWidth="1"/>
    <col min="13322" max="13568" width="9" style="1"/>
    <col min="13569" max="13571" width="10" style="1" customWidth="1"/>
    <col min="13572" max="13572" width="11.75" style="1" bestFit="1" customWidth="1"/>
    <col min="13573" max="13573" width="11.125" style="1" bestFit="1" customWidth="1"/>
    <col min="13574" max="13577" width="10" style="1" customWidth="1"/>
    <col min="13578" max="13824" width="9" style="1"/>
    <col min="13825" max="13827" width="10" style="1" customWidth="1"/>
    <col min="13828" max="13828" width="11.75" style="1" bestFit="1" customWidth="1"/>
    <col min="13829" max="13829" width="11.125" style="1" bestFit="1" customWidth="1"/>
    <col min="13830" max="13833" width="10" style="1" customWidth="1"/>
    <col min="13834" max="14080" width="9" style="1"/>
    <col min="14081" max="14083" width="10" style="1" customWidth="1"/>
    <col min="14084" max="14084" width="11.75" style="1" bestFit="1" customWidth="1"/>
    <col min="14085" max="14085" width="11.125" style="1" bestFit="1" customWidth="1"/>
    <col min="14086" max="14089" width="10" style="1" customWidth="1"/>
    <col min="14090" max="14336" width="9" style="1"/>
    <col min="14337" max="14339" width="10" style="1" customWidth="1"/>
    <col min="14340" max="14340" width="11.75" style="1" bestFit="1" customWidth="1"/>
    <col min="14341" max="14341" width="11.125" style="1" bestFit="1" customWidth="1"/>
    <col min="14342" max="14345" width="10" style="1" customWidth="1"/>
    <col min="14346" max="14592" width="9" style="1"/>
    <col min="14593" max="14595" width="10" style="1" customWidth="1"/>
    <col min="14596" max="14596" width="11.75" style="1" bestFit="1" customWidth="1"/>
    <col min="14597" max="14597" width="11.125" style="1" bestFit="1" customWidth="1"/>
    <col min="14598" max="14601" width="10" style="1" customWidth="1"/>
    <col min="14602" max="14848" width="9" style="1"/>
    <col min="14849" max="14851" width="10" style="1" customWidth="1"/>
    <col min="14852" max="14852" width="11.75" style="1" bestFit="1" customWidth="1"/>
    <col min="14853" max="14853" width="11.125" style="1" bestFit="1" customWidth="1"/>
    <col min="14854" max="14857" width="10" style="1" customWidth="1"/>
    <col min="14858" max="15104" width="9" style="1"/>
    <col min="15105" max="15107" width="10" style="1" customWidth="1"/>
    <col min="15108" max="15108" width="11.75" style="1" bestFit="1" customWidth="1"/>
    <col min="15109" max="15109" width="11.125" style="1" bestFit="1" customWidth="1"/>
    <col min="15110" max="15113" width="10" style="1" customWidth="1"/>
    <col min="15114" max="15360" width="9" style="1"/>
    <col min="15361" max="15363" width="10" style="1" customWidth="1"/>
    <col min="15364" max="15364" width="11.75" style="1" bestFit="1" customWidth="1"/>
    <col min="15365" max="15365" width="11.125" style="1" bestFit="1" customWidth="1"/>
    <col min="15366" max="15369" width="10" style="1" customWidth="1"/>
    <col min="15370" max="15616" width="9" style="1"/>
    <col min="15617" max="15619" width="10" style="1" customWidth="1"/>
    <col min="15620" max="15620" width="11.75" style="1" bestFit="1" customWidth="1"/>
    <col min="15621" max="15621" width="11.125" style="1" bestFit="1" customWidth="1"/>
    <col min="15622" max="15625" width="10" style="1" customWidth="1"/>
    <col min="15626" max="15872" width="9" style="1"/>
    <col min="15873" max="15875" width="10" style="1" customWidth="1"/>
    <col min="15876" max="15876" width="11.75" style="1" bestFit="1" customWidth="1"/>
    <col min="15877" max="15877" width="11.125" style="1" bestFit="1" customWidth="1"/>
    <col min="15878" max="15881" width="10" style="1" customWidth="1"/>
    <col min="15882" max="16128" width="9" style="1"/>
    <col min="16129" max="16131" width="10" style="1" customWidth="1"/>
    <col min="16132" max="16132" width="11.75" style="1" bestFit="1" customWidth="1"/>
    <col min="16133" max="16133" width="11.125" style="1" bestFit="1" customWidth="1"/>
    <col min="16134" max="16137" width="10" style="1" customWidth="1"/>
    <col min="16138" max="16384" width="9" style="1"/>
  </cols>
  <sheetData>
    <row r="1" spans="1:9" ht="26.25">
      <c r="A1" s="47" t="s">
        <v>160</v>
      </c>
      <c r="B1" s="47"/>
      <c r="C1" s="47"/>
      <c r="D1" s="47"/>
      <c r="E1" s="47"/>
      <c r="F1" s="47"/>
      <c r="G1" s="47"/>
      <c r="H1" s="47"/>
      <c r="I1" s="47"/>
    </row>
    <row r="3" spans="1:9">
      <c r="A3" s="4" t="s">
        <v>0</v>
      </c>
      <c r="B3" s="4" t="s">
        <v>34</v>
      </c>
      <c r="C3" s="4" t="s">
        <v>4</v>
      </c>
      <c r="D3" s="4" t="s">
        <v>35</v>
      </c>
      <c r="E3" s="4" t="s">
        <v>36</v>
      </c>
      <c r="F3" s="4" t="s">
        <v>37</v>
      </c>
      <c r="G3" s="4" t="s">
        <v>38</v>
      </c>
      <c r="H3" s="4" t="s">
        <v>39</v>
      </c>
      <c r="I3" s="4" t="s">
        <v>40</v>
      </c>
    </row>
    <row r="4" spans="1:9">
      <c r="A4" s="4" t="s">
        <v>41</v>
      </c>
      <c r="B4" s="4" t="s">
        <v>42</v>
      </c>
      <c r="C4" s="5">
        <v>15400</v>
      </c>
      <c r="D4" s="5">
        <v>6800</v>
      </c>
      <c r="E4" s="5">
        <v>1230</v>
      </c>
      <c r="F4" s="5">
        <v>3070</v>
      </c>
      <c r="G4" s="5">
        <v>1325</v>
      </c>
      <c r="H4" s="5">
        <v>2517.5</v>
      </c>
      <c r="I4" s="5">
        <f>C4+D4+E4+F4-G4+H4</f>
        <v>27692.5</v>
      </c>
    </row>
    <row r="5" spans="1:9">
      <c r="A5" s="4" t="s">
        <v>43</v>
      </c>
      <c r="B5" s="4" t="s">
        <v>44</v>
      </c>
      <c r="C5" s="5">
        <v>14000</v>
      </c>
      <c r="D5" s="5">
        <v>4300</v>
      </c>
      <c r="E5" s="5">
        <v>2130</v>
      </c>
      <c r="F5" s="5">
        <v>2340</v>
      </c>
      <c r="G5" s="5">
        <v>1138.5</v>
      </c>
      <c r="H5" s="5">
        <v>2163.15</v>
      </c>
      <c r="I5" s="5">
        <f t="shared" ref="I5:I12" si="0">C5+D5+E5+F5-G5+H5</f>
        <v>23794.65</v>
      </c>
    </row>
    <row r="6" spans="1:9">
      <c r="A6" s="4" t="s">
        <v>45</v>
      </c>
      <c r="B6" s="4" t="s">
        <v>44</v>
      </c>
      <c r="C6" s="5">
        <v>14000</v>
      </c>
      <c r="D6" s="5">
        <v>5400</v>
      </c>
      <c r="E6" s="5">
        <v>1230</v>
      </c>
      <c r="F6" s="5">
        <v>4430</v>
      </c>
      <c r="G6" s="5">
        <v>1253</v>
      </c>
      <c r="H6" s="5">
        <v>2380.6999999999998</v>
      </c>
      <c r="I6" s="5">
        <f t="shared" si="0"/>
        <v>26187.7</v>
      </c>
    </row>
    <row r="7" spans="1:9">
      <c r="A7" s="4" t="s">
        <v>46</v>
      </c>
      <c r="B7" s="4" t="s">
        <v>42</v>
      </c>
      <c r="C7" s="5">
        <v>15500</v>
      </c>
      <c r="D7" s="5">
        <v>6700</v>
      </c>
      <c r="E7" s="5">
        <v>560</v>
      </c>
      <c r="F7" s="5">
        <v>2450</v>
      </c>
      <c r="G7" s="5">
        <v>1260.5</v>
      </c>
      <c r="H7" s="5">
        <v>2394.9499999999998</v>
      </c>
      <c r="I7" s="5">
        <f t="shared" si="0"/>
        <v>26344.45</v>
      </c>
    </row>
    <row r="8" spans="1:9">
      <c r="A8" s="4" t="s">
        <v>47</v>
      </c>
      <c r="B8" s="4" t="s">
        <v>44</v>
      </c>
      <c r="C8" s="5">
        <v>14000</v>
      </c>
      <c r="D8" s="5">
        <v>3200</v>
      </c>
      <c r="E8" s="5">
        <v>780</v>
      </c>
      <c r="F8" s="5">
        <v>2340</v>
      </c>
      <c r="G8" s="5">
        <v>1016</v>
      </c>
      <c r="H8" s="5">
        <v>1930.4</v>
      </c>
      <c r="I8" s="5">
        <f t="shared" si="0"/>
        <v>21234.400000000001</v>
      </c>
    </row>
    <row r="9" spans="1:9">
      <c r="A9" s="4" t="s">
        <v>48</v>
      </c>
      <c r="B9" s="4" t="s">
        <v>42</v>
      </c>
      <c r="C9" s="5">
        <v>15400</v>
      </c>
      <c r="D9" s="5">
        <v>4570</v>
      </c>
      <c r="E9" s="5">
        <v>920</v>
      </c>
      <c r="F9" s="5">
        <v>3120</v>
      </c>
      <c r="G9" s="5">
        <v>1200.5</v>
      </c>
      <c r="H9" s="5">
        <v>2280.9499999999998</v>
      </c>
      <c r="I9" s="5">
        <f t="shared" si="0"/>
        <v>25090.45</v>
      </c>
    </row>
    <row r="10" spans="1:9">
      <c r="A10" s="4" t="s">
        <v>49</v>
      </c>
      <c r="B10" s="4" t="s">
        <v>42</v>
      </c>
      <c r="C10" s="5">
        <v>20800</v>
      </c>
      <c r="D10" s="5">
        <v>6740</v>
      </c>
      <c r="E10" s="5">
        <v>2500</v>
      </c>
      <c r="F10" s="5">
        <v>3420</v>
      </c>
      <c r="G10" s="5">
        <v>1673</v>
      </c>
      <c r="H10" s="5">
        <v>3178.7</v>
      </c>
      <c r="I10" s="5">
        <f t="shared" si="0"/>
        <v>34965.699999999997</v>
      </c>
    </row>
    <row r="11" spans="1:9">
      <c r="A11" s="4" t="s">
        <v>50</v>
      </c>
      <c r="B11" s="4" t="s">
        <v>51</v>
      </c>
      <c r="C11" s="5">
        <v>35400</v>
      </c>
      <c r="D11" s="5">
        <v>9860</v>
      </c>
      <c r="E11" s="5">
        <v>1500</v>
      </c>
      <c r="F11" s="5">
        <v>5120</v>
      </c>
      <c r="G11" s="5">
        <v>2594</v>
      </c>
      <c r="H11" s="5">
        <v>4928.6000000000004</v>
      </c>
      <c r="I11" s="5">
        <f t="shared" si="0"/>
        <v>54214.6</v>
      </c>
    </row>
    <row r="12" spans="1:9">
      <c r="A12" s="4" t="s">
        <v>52</v>
      </c>
      <c r="B12" s="4" t="s">
        <v>51</v>
      </c>
      <c r="C12" s="5">
        <v>35400</v>
      </c>
      <c r="D12" s="5">
        <v>8670</v>
      </c>
      <c r="E12" s="5">
        <v>8200</v>
      </c>
      <c r="F12" s="5">
        <v>6540</v>
      </c>
      <c r="G12" s="5">
        <v>2940.5</v>
      </c>
      <c r="H12" s="5">
        <v>5586.95</v>
      </c>
      <c r="I12" s="5">
        <f t="shared" si="0"/>
        <v>61456.45</v>
      </c>
    </row>
  </sheetData>
  <mergeCells count="1">
    <mergeCell ref="A1:I1"/>
  </mergeCells>
  <phoneticPr fontId="1" type="noConversion"/>
  <conditionalFormatting sqref="A4:I12">
    <cfRule type="expression" dxfId="0" priority="1">
      <formula>AND($I4&gt;=25000,$I4&lt;=30000,$B4="실버")</formula>
    </cfRule>
  </conditionalFormatting>
  <printOptions headings="1" gridLines="1"/>
  <pageMargins left="0.76" right="0.69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36"/>
  <sheetViews>
    <sheetView workbookViewId="0"/>
  </sheetViews>
  <sheetFormatPr defaultRowHeight="16.5"/>
  <cols>
    <col min="1" max="1" width="12" style="1" customWidth="1"/>
    <col min="2" max="2" width="11.125" style="1" bestFit="1" customWidth="1"/>
    <col min="3" max="3" width="11.625" style="1" bestFit="1" customWidth="1"/>
    <col min="4" max="4" width="9.375" style="1" customWidth="1"/>
    <col min="5" max="5" width="11.625" style="3" customWidth="1"/>
    <col min="6" max="6" width="11" style="1" customWidth="1"/>
    <col min="7" max="7" width="11" style="1" bestFit="1" customWidth="1"/>
    <col min="8" max="8" width="11.5" style="1" bestFit="1" customWidth="1"/>
    <col min="9" max="9" width="11.125" style="1" bestFit="1" customWidth="1"/>
    <col min="10" max="255" width="9" style="1"/>
    <col min="256" max="256" width="12" style="1" customWidth="1"/>
    <col min="257" max="257" width="11" style="1" bestFit="1" customWidth="1"/>
    <col min="258" max="258" width="11.5" style="1" bestFit="1" customWidth="1"/>
    <col min="259" max="259" width="10" style="1" customWidth="1"/>
    <col min="260" max="261" width="11" style="1" customWidth="1"/>
    <col min="262" max="262" width="11" style="1" bestFit="1" customWidth="1"/>
    <col min="263" max="263" width="11.5" style="1" bestFit="1" customWidth="1"/>
    <col min="264" max="264" width="11.125" style="1" bestFit="1" customWidth="1"/>
    <col min="265" max="511" width="9" style="1"/>
    <col min="512" max="512" width="12" style="1" customWidth="1"/>
    <col min="513" max="513" width="11" style="1" bestFit="1" customWidth="1"/>
    <col min="514" max="514" width="11.5" style="1" bestFit="1" customWidth="1"/>
    <col min="515" max="515" width="10" style="1" customWidth="1"/>
    <col min="516" max="517" width="11" style="1" customWidth="1"/>
    <col min="518" max="518" width="11" style="1" bestFit="1" customWidth="1"/>
    <col min="519" max="519" width="11.5" style="1" bestFit="1" customWidth="1"/>
    <col min="520" max="520" width="11.125" style="1" bestFit="1" customWidth="1"/>
    <col min="521" max="767" width="9" style="1"/>
    <col min="768" max="768" width="12" style="1" customWidth="1"/>
    <col min="769" max="769" width="11" style="1" bestFit="1" customWidth="1"/>
    <col min="770" max="770" width="11.5" style="1" bestFit="1" customWidth="1"/>
    <col min="771" max="771" width="10" style="1" customWidth="1"/>
    <col min="772" max="773" width="11" style="1" customWidth="1"/>
    <col min="774" max="774" width="11" style="1" bestFit="1" customWidth="1"/>
    <col min="775" max="775" width="11.5" style="1" bestFit="1" customWidth="1"/>
    <col min="776" max="776" width="11.125" style="1" bestFit="1" customWidth="1"/>
    <col min="777" max="1023" width="9" style="1"/>
    <col min="1024" max="1024" width="12" style="1" customWidth="1"/>
    <col min="1025" max="1025" width="11" style="1" bestFit="1" customWidth="1"/>
    <col min="1026" max="1026" width="11.5" style="1" bestFit="1" customWidth="1"/>
    <col min="1027" max="1027" width="10" style="1" customWidth="1"/>
    <col min="1028" max="1029" width="11" style="1" customWidth="1"/>
    <col min="1030" max="1030" width="11" style="1" bestFit="1" customWidth="1"/>
    <col min="1031" max="1031" width="11.5" style="1" bestFit="1" customWidth="1"/>
    <col min="1032" max="1032" width="11.125" style="1" bestFit="1" customWidth="1"/>
    <col min="1033" max="1279" width="9" style="1"/>
    <col min="1280" max="1280" width="12" style="1" customWidth="1"/>
    <col min="1281" max="1281" width="11" style="1" bestFit="1" customWidth="1"/>
    <col min="1282" max="1282" width="11.5" style="1" bestFit="1" customWidth="1"/>
    <col min="1283" max="1283" width="10" style="1" customWidth="1"/>
    <col min="1284" max="1285" width="11" style="1" customWidth="1"/>
    <col min="1286" max="1286" width="11" style="1" bestFit="1" customWidth="1"/>
    <col min="1287" max="1287" width="11.5" style="1" bestFit="1" customWidth="1"/>
    <col min="1288" max="1288" width="11.125" style="1" bestFit="1" customWidth="1"/>
    <col min="1289" max="1535" width="9" style="1"/>
    <col min="1536" max="1536" width="12" style="1" customWidth="1"/>
    <col min="1537" max="1537" width="11" style="1" bestFit="1" customWidth="1"/>
    <col min="1538" max="1538" width="11.5" style="1" bestFit="1" customWidth="1"/>
    <col min="1539" max="1539" width="10" style="1" customWidth="1"/>
    <col min="1540" max="1541" width="11" style="1" customWidth="1"/>
    <col min="1542" max="1542" width="11" style="1" bestFit="1" customWidth="1"/>
    <col min="1543" max="1543" width="11.5" style="1" bestFit="1" customWidth="1"/>
    <col min="1544" max="1544" width="11.125" style="1" bestFit="1" customWidth="1"/>
    <col min="1545" max="1791" width="9" style="1"/>
    <col min="1792" max="1792" width="12" style="1" customWidth="1"/>
    <col min="1793" max="1793" width="11" style="1" bestFit="1" customWidth="1"/>
    <col min="1794" max="1794" width="11.5" style="1" bestFit="1" customWidth="1"/>
    <col min="1795" max="1795" width="10" style="1" customWidth="1"/>
    <col min="1796" max="1797" width="11" style="1" customWidth="1"/>
    <col min="1798" max="1798" width="11" style="1" bestFit="1" customWidth="1"/>
    <col min="1799" max="1799" width="11.5" style="1" bestFit="1" customWidth="1"/>
    <col min="1800" max="1800" width="11.125" style="1" bestFit="1" customWidth="1"/>
    <col min="1801" max="2047" width="9" style="1"/>
    <col min="2048" max="2048" width="12" style="1" customWidth="1"/>
    <col min="2049" max="2049" width="11" style="1" bestFit="1" customWidth="1"/>
    <col min="2050" max="2050" width="11.5" style="1" bestFit="1" customWidth="1"/>
    <col min="2051" max="2051" width="10" style="1" customWidth="1"/>
    <col min="2052" max="2053" width="11" style="1" customWidth="1"/>
    <col min="2054" max="2054" width="11" style="1" bestFit="1" customWidth="1"/>
    <col min="2055" max="2055" width="11.5" style="1" bestFit="1" customWidth="1"/>
    <col min="2056" max="2056" width="11.125" style="1" bestFit="1" customWidth="1"/>
    <col min="2057" max="2303" width="9" style="1"/>
    <col min="2304" max="2304" width="12" style="1" customWidth="1"/>
    <col min="2305" max="2305" width="11" style="1" bestFit="1" customWidth="1"/>
    <col min="2306" max="2306" width="11.5" style="1" bestFit="1" customWidth="1"/>
    <col min="2307" max="2307" width="10" style="1" customWidth="1"/>
    <col min="2308" max="2309" width="11" style="1" customWidth="1"/>
    <col min="2310" max="2310" width="11" style="1" bestFit="1" customWidth="1"/>
    <col min="2311" max="2311" width="11.5" style="1" bestFit="1" customWidth="1"/>
    <col min="2312" max="2312" width="11.125" style="1" bestFit="1" customWidth="1"/>
    <col min="2313" max="2559" width="9" style="1"/>
    <col min="2560" max="2560" width="12" style="1" customWidth="1"/>
    <col min="2561" max="2561" width="11" style="1" bestFit="1" customWidth="1"/>
    <col min="2562" max="2562" width="11.5" style="1" bestFit="1" customWidth="1"/>
    <col min="2563" max="2563" width="10" style="1" customWidth="1"/>
    <col min="2564" max="2565" width="11" style="1" customWidth="1"/>
    <col min="2566" max="2566" width="11" style="1" bestFit="1" customWidth="1"/>
    <col min="2567" max="2567" width="11.5" style="1" bestFit="1" customWidth="1"/>
    <col min="2568" max="2568" width="11.125" style="1" bestFit="1" customWidth="1"/>
    <col min="2569" max="2815" width="9" style="1"/>
    <col min="2816" max="2816" width="12" style="1" customWidth="1"/>
    <col min="2817" max="2817" width="11" style="1" bestFit="1" customWidth="1"/>
    <col min="2818" max="2818" width="11.5" style="1" bestFit="1" customWidth="1"/>
    <col min="2819" max="2819" width="10" style="1" customWidth="1"/>
    <col min="2820" max="2821" width="11" style="1" customWidth="1"/>
    <col min="2822" max="2822" width="11" style="1" bestFit="1" customWidth="1"/>
    <col min="2823" max="2823" width="11.5" style="1" bestFit="1" customWidth="1"/>
    <col min="2824" max="2824" width="11.125" style="1" bestFit="1" customWidth="1"/>
    <col min="2825" max="3071" width="9" style="1"/>
    <col min="3072" max="3072" width="12" style="1" customWidth="1"/>
    <col min="3073" max="3073" width="11" style="1" bestFit="1" customWidth="1"/>
    <col min="3074" max="3074" width="11.5" style="1" bestFit="1" customWidth="1"/>
    <col min="3075" max="3075" width="10" style="1" customWidth="1"/>
    <col min="3076" max="3077" width="11" style="1" customWidth="1"/>
    <col min="3078" max="3078" width="11" style="1" bestFit="1" customWidth="1"/>
    <col min="3079" max="3079" width="11.5" style="1" bestFit="1" customWidth="1"/>
    <col min="3080" max="3080" width="11.125" style="1" bestFit="1" customWidth="1"/>
    <col min="3081" max="3327" width="9" style="1"/>
    <col min="3328" max="3328" width="12" style="1" customWidth="1"/>
    <col min="3329" max="3329" width="11" style="1" bestFit="1" customWidth="1"/>
    <col min="3330" max="3330" width="11.5" style="1" bestFit="1" customWidth="1"/>
    <col min="3331" max="3331" width="10" style="1" customWidth="1"/>
    <col min="3332" max="3333" width="11" style="1" customWidth="1"/>
    <col min="3334" max="3334" width="11" style="1" bestFit="1" customWidth="1"/>
    <col min="3335" max="3335" width="11.5" style="1" bestFit="1" customWidth="1"/>
    <col min="3336" max="3336" width="11.125" style="1" bestFit="1" customWidth="1"/>
    <col min="3337" max="3583" width="9" style="1"/>
    <col min="3584" max="3584" width="12" style="1" customWidth="1"/>
    <col min="3585" max="3585" width="11" style="1" bestFit="1" customWidth="1"/>
    <col min="3586" max="3586" width="11.5" style="1" bestFit="1" customWidth="1"/>
    <col min="3587" max="3587" width="10" style="1" customWidth="1"/>
    <col min="3588" max="3589" width="11" style="1" customWidth="1"/>
    <col min="3590" max="3590" width="11" style="1" bestFit="1" customWidth="1"/>
    <col min="3591" max="3591" width="11.5" style="1" bestFit="1" customWidth="1"/>
    <col min="3592" max="3592" width="11.125" style="1" bestFit="1" customWidth="1"/>
    <col min="3593" max="3839" width="9" style="1"/>
    <col min="3840" max="3840" width="12" style="1" customWidth="1"/>
    <col min="3841" max="3841" width="11" style="1" bestFit="1" customWidth="1"/>
    <col min="3842" max="3842" width="11.5" style="1" bestFit="1" customWidth="1"/>
    <col min="3843" max="3843" width="10" style="1" customWidth="1"/>
    <col min="3844" max="3845" width="11" style="1" customWidth="1"/>
    <col min="3846" max="3846" width="11" style="1" bestFit="1" customWidth="1"/>
    <col min="3847" max="3847" width="11.5" style="1" bestFit="1" customWidth="1"/>
    <col min="3848" max="3848" width="11.125" style="1" bestFit="1" customWidth="1"/>
    <col min="3849" max="4095" width="9" style="1"/>
    <col min="4096" max="4096" width="12" style="1" customWidth="1"/>
    <col min="4097" max="4097" width="11" style="1" bestFit="1" customWidth="1"/>
    <col min="4098" max="4098" width="11.5" style="1" bestFit="1" customWidth="1"/>
    <col min="4099" max="4099" width="10" style="1" customWidth="1"/>
    <col min="4100" max="4101" width="11" style="1" customWidth="1"/>
    <col min="4102" max="4102" width="11" style="1" bestFit="1" customWidth="1"/>
    <col min="4103" max="4103" width="11.5" style="1" bestFit="1" customWidth="1"/>
    <col min="4104" max="4104" width="11.125" style="1" bestFit="1" customWidth="1"/>
    <col min="4105" max="4351" width="9" style="1"/>
    <col min="4352" max="4352" width="12" style="1" customWidth="1"/>
    <col min="4353" max="4353" width="11" style="1" bestFit="1" customWidth="1"/>
    <col min="4354" max="4354" width="11.5" style="1" bestFit="1" customWidth="1"/>
    <col min="4355" max="4355" width="10" style="1" customWidth="1"/>
    <col min="4356" max="4357" width="11" style="1" customWidth="1"/>
    <col min="4358" max="4358" width="11" style="1" bestFit="1" customWidth="1"/>
    <col min="4359" max="4359" width="11.5" style="1" bestFit="1" customWidth="1"/>
    <col min="4360" max="4360" width="11.125" style="1" bestFit="1" customWidth="1"/>
    <col min="4361" max="4607" width="9" style="1"/>
    <col min="4608" max="4608" width="12" style="1" customWidth="1"/>
    <col min="4609" max="4609" width="11" style="1" bestFit="1" customWidth="1"/>
    <col min="4610" max="4610" width="11.5" style="1" bestFit="1" customWidth="1"/>
    <col min="4611" max="4611" width="10" style="1" customWidth="1"/>
    <col min="4612" max="4613" width="11" style="1" customWidth="1"/>
    <col min="4614" max="4614" width="11" style="1" bestFit="1" customWidth="1"/>
    <col min="4615" max="4615" width="11.5" style="1" bestFit="1" customWidth="1"/>
    <col min="4616" max="4616" width="11.125" style="1" bestFit="1" customWidth="1"/>
    <col min="4617" max="4863" width="9" style="1"/>
    <col min="4864" max="4864" width="12" style="1" customWidth="1"/>
    <col min="4865" max="4865" width="11" style="1" bestFit="1" customWidth="1"/>
    <col min="4866" max="4866" width="11.5" style="1" bestFit="1" customWidth="1"/>
    <col min="4867" max="4867" width="10" style="1" customWidth="1"/>
    <col min="4868" max="4869" width="11" style="1" customWidth="1"/>
    <col min="4870" max="4870" width="11" style="1" bestFit="1" customWidth="1"/>
    <col min="4871" max="4871" width="11.5" style="1" bestFit="1" customWidth="1"/>
    <col min="4872" max="4872" width="11.125" style="1" bestFit="1" customWidth="1"/>
    <col min="4873" max="5119" width="9" style="1"/>
    <col min="5120" max="5120" width="12" style="1" customWidth="1"/>
    <col min="5121" max="5121" width="11" style="1" bestFit="1" customWidth="1"/>
    <col min="5122" max="5122" width="11.5" style="1" bestFit="1" customWidth="1"/>
    <col min="5123" max="5123" width="10" style="1" customWidth="1"/>
    <col min="5124" max="5125" width="11" style="1" customWidth="1"/>
    <col min="5126" max="5126" width="11" style="1" bestFit="1" customWidth="1"/>
    <col min="5127" max="5127" width="11.5" style="1" bestFit="1" customWidth="1"/>
    <col min="5128" max="5128" width="11.125" style="1" bestFit="1" customWidth="1"/>
    <col min="5129" max="5375" width="9" style="1"/>
    <col min="5376" max="5376" width="12" style="1" customWidth="1"/>
    <col min="5377" max="5377" width="11" style="1" bestFit="1" customWidth="1"/>
    <col min="5378" max="5378" width="11.5" style="1" bestFit="1" customWidth="1"/>
    <col min="5379" max="5379" width="10" style="1" customWidth="1"/>
    <col min="5380" max="5381" width="11" style="1" customWidth="1"/>
    <col min="5382" max="5382" width="11" style="1" bestFit="1" customWidth="1"/>
    <col min="5383" max="5383" width="11.5" style="1" bestFit="1" customWidth="1"/>
    <col min="5384" max="5384" width="11.125" style="1" bestFit="1" customWidth="1"/>
    <col min="5385" max="5631" width="9" style="1"/>
    <col min="5632" max="5632" width="12" style="1" customWidth="1"/>
    <col min="5633" max="5633" width="11" style="1" bestFit="1" customWidth="1"/>
    <col min="5634" max="5634" width="11.5" style="1" bestFit="1" customWidth="1"/>
    <col min="5635" max="5635" width="10" style="1" customWidth="1"/>
    <col min="5636" max="5637" width="11" style="1" customWidth="1"/>
    <col min="5638" max="5638" width="11" style="1" bestFit="1" customWidth="1"/>
    <col min="5639" max="5639" width="11.5" style="1" bestFit="1" customWidth="1"/>
    <col min="5640" max="5640" width="11.125" style="1" bestFit="1" customWidth="1"/>
    <col min="5641" max="5887" width="9" style="1"/>
    <col min="5888" max="5888" width="12" style="1" customWidth="1"/>
    <col min="5889" max="5889" width="11" style="1" bestFit="1" customWidth="1"/>
    <col min="5890" max="5890" width="11.5" style="1" bestFit="1" customWidth="1"/>
    <col min="5891" max="5891" width="10" style="1" customWidth="1"/>
    <col min="5892" max="5893" width="11" style="1" customWidth="1"/>
    <col min="5894" max="5894" width="11" style="1" bestFit="1" customWidth="1"/>
    <col min="5895" max="5895" width="11.5" style="1" bestFit="1" customWidth="1"/>
    <col min="5896" max="5896" width="11.125" style="1" bestFit="1" customWidth="1"/>
    <col min="5897" max="6143" width="9" style="1"/>
    <col min="6144" max="6144" width="12" style="1" customWidth="1"/>
    <col min="6145" max="6145" width="11" style="1" bestFit="1" customWidth="1"/>
    <col min="6146" max="6146" width="11.5" style="1" bestFit="1" customWidth="1"/>
    <col min="6147" max="6147" width="10" style="1" customWidth="1"/>
    <col min="6148" max="6149" width="11" style="1" customWidth="1"/>
    <col min="6150" max="6150" width="11" style="1" bestFit="1" customWidth="1"/>
    <col min="6151" max="6151" width="11.5" style="1" bestFit="1" customWidth="1"/>
    <col min="6152" max="6152" width="11.125" style="1" bestFit="1" customWidth="1"/>
    <col min="6153" max="6399" width="9" style="1"/>
    <col min="6400" max="6400" width="12" style="1" customWidth="1"/>
    <col min="6401" max="6401" width="11" style="1" bestFit="1" customWidth="1"/>
    <col min="6402" max="6402" width="11.5" style="1" bestFit="1" customWidth="1"/>
    <col min="6403" max="6403" width="10" style="1" customWidth="1"/>
    <col min="6404" max="6405" width="11" style="1" customWidth="1"/>
    <col min="6406" max="6406" width="11" style="1" bestFit="1" customWidth="1"/>
    <col min="6407" max="6407" width="11.5" style="1" bestFit="1" customWidth="1"/>
    <col min="6408" max="6408" width="11.125" style="1" bestFit="1" customWidth="1"/>
    <col min="6409" max="6655" width="9" style="1"/>
    <col min="6656" max="6656" width="12" style="1" customWidth="1"/>
    <col min="6657" max="6657" width="11" style="1" bestFit="1" customWidth="1"/>
    <col min="6658" max="6658" width="11.5" style="1" bestFit="1" customWidth="1"/>
    <col min="6659" max="6659" width="10" style="1" customWidth="1"/>
    <col min="6660" max="6661" width="11" style="1" customWidth="1"/>
    <col min="6662" max="6662" width="11" style="1" bestFit="1" customWidth="1"/>
    <col min="6663" max="6663" width="11.5" style="1" bestFit="1" customWidth="1"/>
    <col min="6664" max="6664" width="11.125" style="1" bestFit="1" customWidth="1"/>
    <col min="6665" max="6911" width="9" style="1"/>
    <col min="6912" max="6912" width="12" style="1" customWidth="1"/>
    <col min="6913" max="6913" width="11" style="1" bestFit="1" customWidth="1"/>
    <col min="6914" max="6914" width="11.5" style="1" bestFit="1" customWidth="1"/>
    <col min="6915" max="6915" width="10" style="1" customWidth="1"/>
    <col min="6916" max="6917" width="11" style="1" customWidth="1"/>
    <col min="6918" max="6918" width="11" style="1" bestFit="1" customWidth="1"/>
    <col min="6919" max="6919" width="11.5" style="1" bestFit="1" customWidth="1"/>
    <col min="6920" max="6920" width="11.125" style="1" bestFit="1" customWidth="1"/>
    <col min="6921" max="7167" width="9" style="1"/>
    <col min="7168" max="7168" width="12" style="1" customWidth="1"/>
    <col min="7169" max="7169" width="11" style="1" bestFit="1" customWidth="1"/>
    <col min="7170" max="7170" width="11.5" style="1" bestFit="1" customWidth="1"/>
    <col min="7171" max="7171" width="10" style="1" customWidth="1"/>
    <col min="7172" max="7173" width="11" style="1" customWidth="1"/>
    <col min="7174" max="7174" width="11" style="1" bestFit="1" customWidth="1"/>
    <col min="7175" max="7175" width="11.5" style="1" bestFit="1" customWidth="1"/>
    <col min="7176" max="7176" width="11.125" style="1" bestFit="1" customWidth="1"/>
    <col min="7177" max="7423" width="9" style="1"/>
    <col min="7424" max="7424" width="12" style="1" customWidth="1"/>
    <col min="7425" max="7425" width="11" style="1" bestFit="1" customWidth="1"/>
    <col min="7426" max="7426" width="11.5" style="1" bestFit="1" customWidth="1"/>
    <col min="7427" max="7427" width="10" style="1" customWidth="1"/>
    <col min="7428" max="7429" width="11" style="1" customWidth="1"/>
    <col min="7430" max="7430" width="11" style="1" bestFit="1" customWidth="1"/>
    <col min="7431" max="7431" width="11.5" style="1" bestFit="1" customWidth="1"/>
    <col min="7432" max="7432" width="11.125" style="1" bestFit="1" customWidth="1"/>
    <col min="7433" max="7679" width="9" style="1"/>
    <col min="7680" max="7680" width="12" style="1" customWidth="1"/>
    <col min="7681" max="7681" width="11" style="1" bestFit="1" customWidth="1"/>
    <col min="7682" max="7682" width="11.5" style="1" bestFit="1" customWidth="1"/>
    <col min="7683" max="7683" width="10" style="1" customWidth="1"/>
    <col min="7684" max="7685" width="11" style="1" customWidth="1"/>
    <col min="7686" max="7686" width="11" style="1" bestFit="1" customWidth="1"/>
    <col min="7687" max="7687" width="11.5" style="1" bestFit="1" customWidth="1"/>
    <col min="7688" max="7688" width="11.125" style="1" bestFit="1" customWidth="1"/>
    <col min="7689" max="7935" width="9" style="1"/>
    <col min="7936" max="7936" width="12" style="1" customWidth="1"/>
    <col min="7937" max="7937" width="11" style="1" bestFit="1" customWidth="1"/>
    <col min="7938" max="7938" width="11.5" style="1" bestFit="1" customWidth="1"/>
    <col min="7939" max="7939" width="10" style="1" customWidth="1"/>
    <col min="7940" max="7941" width="11" style="1" customWidth="1"/>
    <col min="7942" max="7942" width="11" style="1" bestFit="1" customWidth="1"/>
    <col min="7943" max="7943" width="11.5" style="1" bestFit="1" customWidth="1"/>
    <col min="7944" max="7944" width="11.125" style="1" bestFit="1" customWidth="1"/>
    <col min="7945" max="8191" width="9" style="1"/>
    <col min="8192" max="8192" width="12" style="1" customWidth="1"/>
    <col min="8193" max="8193" width="11" style="1" bestFit="1" customWidth="1"/>
    <col min="8194" max="8194" width="11.5" style="1" bestFit="1" customWidth="1"/>
    <col min="8195" max="8195" width="10" style="1" customWidth="1"/>
    <col min="8196" max="8197" width="11" style="1" customWidth="1"/>
    <col min="8198" max="8198" width="11" style="1" bestFit="1" customWidth="1"/>
    <col min="8199" max="8199" width="11.5" style="1" bestFit="1" customWidth="1"/>
    <col min="8200" max="8200" width="11.125" style="1" bestFit="1" customWidth="1"/>
    <col min="8201" max="8447" width="9" style="1"/>
    <col min="8448" max="8448" width="12" style="1" customWidth="1"/>
    <col min="8449" max="8449" width="11" style="1" bestFit="1" customWidth="1"/>
    <col min="8450" max="8450" width="11.5" style="1" bestFit="1" customWidth="1"/>
    <col min="8451" max="8451" width="10" style="1" customWidth="1"/>
    <col min="8452" max="8453" width="11" style="1" customWidth="1"/>
    <col min="8454" max="8454" width="11" style="1" bestFit="1" customWidth="1"/>
    <col min="8455" max="8455" width="11.5" style="1" bestFit="1" customWidth="1"/>
    <col min="8456" max="8456" width="11.125" style="1" bestFit="1" customWidth="1"/>
    <col min="8457" max="8703" width="9" style="1"/>
    <col min="8704" max="8704" width="12" style="1" customWidth="1"/>
    <col min="8705" max="8705" width="11" style="1" bestFit="1" customWidth="1"/>
    <col min="8706" max="8706" width="11.5" style="1" bestFit="1" customWidth="1"/>
    <col min="8707" max="8707" width="10" style="1" customWidth="1"/>
    <col min="8708" max="8709" width="11" style="1" customWidth="1"/>
    <col min="8710" max="8710" width="11" style="1" bestFit="1" customWidth="1"/>
    <col min="8711" max="8711" width="11.5" style="1" bestFit="1" customWidth="1"/>
    <col min="8712" max="8712" width="11.125" style="1" bestFit="1" customWidth="1"/>
    <col min="8713" max="8959" width="9" style="1"/>
    <col min="8960" max="8960" width="12" style="1" customWidth="1"/>
    <col min="8961" max="8961" width="11" style="1" bestFit="1" customWidth="1"/>
    <col min="8962" max="8962" width="11.5" style="1" bestFit="1" customWidth="1"/>
    <col min="8963" max="8963" width="10" style="1" customWidth="1"/>
    <col min="8964" max="8965" width="11" style="1" customWidth="1"/>
    <col min="8966" max="8966" width="11" style="1" bestFit="1" customWidth="1"/>
    <col min="8967" max="8967" width="11.5" style="1" bestFit="1" customWidth="1"/>
    <col min="8968" max="8968" width="11.125" style="1" bestFit="1" customWidth="1"/>
    <col min="8969" max="9215" width="9" style="1"/>
    <col min="9216" max="9216" width="12" style="1" customWidth="1"/>
    <col min="9217" max="9217" width="11" style="1" bestFit="1" customWidth="1"/>
    <col min="9218" max="9218" width="11.5" style="1" bestFit="1" customWidth="1"/>
    <col min="9219" max="9219" width="10" style="1" customWidth="1"/>
    <col min="9220" max="9221" width="11" style="1" customWidth="1"/>
    <col min="9222" max="9222" width="11" style="1" bestFit="1" customWidth="1"/>
    <col min="9223" max="9223" width="11.5" style="1" bestFit="1" customWidth="1"/>
    <col min="9224" max="9224" width="11.125" style="1" bestFit="1" customWidth="1"/>
    <col min="9225" max="9471" width="9" style="1"/>
    <col min="9472" max="9472" width="12" style="1" customWidth="1"/>
    <col min="9473" max="9473" width="11" style="1" bestFit="1" customWidth="1"/>
    <col min="9474" max="9474" width="11.5" style="1" bestFit="1" customWidth="1"/>
    <col min="9475" max="9475" width="10" style="1" customWidth="1"/>
    <col min="9476" max="9477" width="11" style="1" customWidth="1"/>
    <col min="9478" max="9478" width="11" style="1" bestFit="1" customWidth="1"/>
    <col min="9479" max="9479" width="11.5" style="1" bestFit="1" customWidth="1"/>
    <col min="9480" max="9480" width="11.125" style="1" bestFit="1" customWidth="1"/>
    <col min="9481" max="9727" width="9" style="1"/>
    <col min="9728" max="9728" width="12" style="1" customWidth="1"/>
    <col min="9729" max="9729" width="11" style="1" bestFit="1" customWidth="1"/>
    <col min="9730" max="9730" width="11.5" style="1" bestFit="1" customWidth="1"/>
    <col min="9731" max="9731" width="10" style="1" customWidth="1"/>
    <col min="9732" max="9733" width="11" style="1" customWidth="1"/>
    <col min="9734" max="9734" width="11" style="1" bestFit="1" customWidth="1"/>
    <col min="9735" max="9735" width="11.5" style="1" bestFit="1" customWidth="1"/>
    <col min="9736" max="9736" width="11.125" style="1" bestFit="1" customWidth="1"/>
    <col min="9737" max="9983" width="9" style="1"/>
    <col min="9984" max="9984" width="12" style="1" customWidth="1"/>
    <col min="9985" max="9985" width="11" style="1" bestFit="1" customWidth="1"/>
    <col min="9986" max="9986" width="11.5" style="1" bestFit="1" customWidth="1"/>
    <col min="9987" max="9987" width="10" style="1" customWidth="1"/>
    <col min="9988" max="9989" width="11" style="1" customWidth="1"/>
    <col min="9990" max="9990" width="11" style="1" bestFit="1" customWidth="1"/>
    <col min="9991" max="9991" width="11.5" style="1" bestFit="1" customWidth="1"/>
    <col min="9992" max="9992" width="11.125" style="1" bestFit="1" customWidth="1"/>
    <col min="9993" max="10239" width="9" style="1"/>
    <col min="10240" max="10240" width="12" style="1" customWidth="1"/>
    <col min="10241" max="10241" width="11" style="1" bestFit="1" customWidth="1"/>
    <col min="10242" max="10242" width="11.5" style="1" bestFit="1" customWidth="1"/>
    <col min="10243" max="10243" width="10" style="1" customWidth="1"/>
    <col min="10244" max="10245" width="11" style="1" customWidth="1"/>
    <col min="10246" max="10246" width="11" style="1" bestFit="1" customWidth="1"/>
    <col min="10247" max="10247" width="11.5" style="1" bestFit="1" customWidth="1"/>
    <col min="10248" max="10248" width="11.125" style="1" bestFit="1" customWidth="1"/>
    <col min="10249" max="10495" width="9" style="1"/>
    <col min="10496" max="10496" width="12" style="1" customWidth="1"/>
    <col min="10497" max="10497" width="11" style="1" bestFit="1" customWidth="1"/>
    <col min="10498" max="10498" width="11.5" style="1" bestFit="1" customWidth="1"/>
    <col min="10499" max="10499" width="10" style="1" customWidth="1"/>
    <col min="10500" max="10501" width="11" style="1" customWidth="1"/>
    <col min="10502" max="10502" width="11" style="1" bestFit="1" customWidth="1"/>
    <col min="10503" max="10503" width="11.5" style="1" bestFit="1" customWidth="1"/>
    <col min="10504" max="10504" width="11.125" style="1" bestFit="1" customWidth="1"/>
    <col min="10505" max="10751" width="9" style="1"/>
    <col min="10752" max="10752" width="12" style="1" customWidth="1"/>
    <col min="10753" max="10753" width="11" style="1" bestFit="1" customWidth="1"/>
    <col min="10754" max="10754" width="11.5" style="1" bestFit="1" customWidth="1"/>
    <col min="10755" max="10755" width="10" style="1" customWidth="1"/>
    <col min="10756" max="10757" width="11" style="1" customWidth="1"/>
    <col min="10758" max="10758" width="11" style="1" bestFit="1" customWidth="1"/>
    <col min="10759" max="10759" width="11.5" style="1" bestFit="1" customWidth="1"/>
    <col min="10760" max="10760" width="11.125" style="1" bestFit="1" customWidth="1"/>
    <col min="10761" max="11007" width="9" style="1"/>
    <col min="11008" max="11008" width="12" style="1" customWidth="1"/>
    <col min="11009" max="11009" width="11" style="1" bestFit="1" customWidth="1"/>
    <col min="11010" max="11010" width="11.5" style="1" bestFit="1" customWidth="1"/>
    <col min="11011" max="11011" width="10" style="1" customWidth="1"/>
    <col min="11012" max="11013" width="11" style="1" customWidth="1"/>
    <col min="11014" max="11014" width="11" style="1" bestFit="1" customWidth="1"/>
    <col min="11015" max="11015" width="11.5" style="1" bestFit="1" customWidth="1"/>
    <col min="11016" max="11016" width="11.125" style="1" bestFit="1" customWidth="1"/>
    <col min="11017" max="11263" width="9" style="1"/>
    <col min="11264" max="11264" width="12" style="1" customWidth="1"/>
    <col min="11265" max="11265" width="11" style="1" bestFit="1" customWidth="1"/>
    <col min="11266" max="11266" width="11.5" style="1" bestFit="1" customWidth="1"/>
    <col min="11267" max="11267" width="10" style="1" customWidth="1"/>
    <col min="11268" max="11269" width="11" style="1" customWidth="1"/>
    <col min="11270" max="11270" width="11" style="1" bestFit="1" customWidth="1"/>
    <col min="11271" max="11271" width="11.5" style="1" bestFit="1" customWidth="1"/>
    <col min="11272" max="11272" width="11.125" style="1" bestFit="1" customWidth="1"/>
    <col min="11273" max="11519" width="9" style="1"/>
    <col min="11520" max="11520" width="12" style="1" customWidth="1"/>
    <col min="11521" max="11521" width="11" style="1" bestFit="1" customWidth="1"/>
    <col min="11522" max="11522" width="11.5" style="1" bestFit="1" customWidth="1"/>
    <col min="11523" max="11523" width="10" style="1" customWidth="1"/>
    <col min="11524" max="11525" width="11" style="1" customWidth="1"/>
    <col min="11526" max="11526" width="11" style="1" bestFit="1" customWidth="1"/>
    <col min="11527" max="11527" width="11.5" style="1" bestFit="1" customWidth="1"/>
    <col min="11528" max="11528" width="11.125" style="1" bestFit="1" customWidth="1"/>
    <col min="11529" max="11775" width="9" style="1"/>
    <col min="11776" max="11776" width="12" style="1" customWidth="1"/>
    <col min="11777" max="11777" width="11" style="1" bestFit="1" customWidth="1"/>
    <col min="11778" max="11778" width="11.5" style="1" bestFit="1" customWidth="1"/>
    <col min="11779" max="11779" width="10" style="1" customWidth="1"/>
    <col min="11780" max="11781" width="11" style="1" customWidth="1"/>
    <col min="11782" max="11782" width="11" style="1" bestFit="1" customWidth="1"/>
    <col min="11783" max="11783" width="11.5" style="1" bestFit="1" customWidth="1"/>
    <col min="11784" max="11784" width="11.125" style="1" bestFit="1" customWidth="1"/>
    <col min="11785" max="12031" width="9" style="1"/>
    <col min="12032" max="12032" width="12" style="1" customWidth="1"/>
    <col min="12033" max="12033" width="11" style="1" bestFit="1" customWidth="1"/>
    <col min="12034" max="12034" width="11.5" style="1" bestFit="1" customWidth="1"/>
    <col min="12035" max="12035" width="10" style="1" customWidth="1"/>
    <col min="12036" max="12037" width="11" style="1" customWidth="1"/>
    <col min="12038" max="12038" width="11" style="1" bestFit="1" customWidth="1"/>
    <col min="12039" max="12039" width="11.5" style="1" bestFit="1" customWidth="1"/>
    <col min="12040" max="12040" width="11.125" style="1" bestFit="1" customWidth="1"/>
    <col min="12041" max="12287" width="9" style="1"/>
    <col min="12288" max="12288" width="12" style="1" customWidth="1"/>
    <col min="12289" max="12289" width="11" style="1" bestFit="1" customWidth="1"/>
    <col min="12290" max="12290" width="11.5" style="1" bestFit="1" customWidth="1"/>
    <col min="12291" max="12291" width="10" style="1" customWidth="1"/>
    <col min="12292" max="12293" width="11" style="1" customWidth="1"/>
    <col min="12294" max="12294" width="11" style="1" bestFit="1" customWidth="1"/>
    <col min="12295" max="12295" width="11.5" style="1" bestFit="1" customWidth="1"/>
    <col min="12296" max="12296" width="11.125" style="1" bestFit="1" customWidth="1"/>
    <col min="12297" max="12543" width="9" style="1"/>
    <col min="12544" max="12544" width="12" style="1" customWidth="1"/>
    <col min="12545" max="12545" width="11" style="1" bestFit="1" customWidth="1"/>
    <col min="12546" max="12546" width="11.5" style="1" bestFit="1" customWidth="1"/>
    <col min="12547" max="12547" width="10" style="1" customWidth="1"/>
    <col min="12548" max="12549" width="11" style="1" customWidth="1"/>
    <col min="12550" max="12550" width="11" style="1" bestFit="1" customWidth="1"/>
    <col min="12551" max="12551" width="11.5" style="1" bestFit="1" customWidth="1"/>
    <col min="12552" max="12552" width="11.125" style="1" bestFit="1" customWidth="1"/>
    <col min="12553" max="12799" width="9" style="1"/>
    <col min="12800" max="12800" width="12" style="1" customWidth="1"/>
    <col min="12801" max="12801" width="11" style="1" bestFit="1" customWidth="1"/>
    <col min="12802" max="12802" width="11.5" style="1" bestFit="1" customWidth="1"/>
    <col min="12803" max="12803" width="10" style="1" customWidth="1"/>
    <col min="12804" max="12805" width="11" style="1" customWidth="1"/>
    <col min="12806" max="12806" width="11" style="1" bestFit="1" customWidth="1"/>
    <col min="12807" max="12807" width="11.5" style="1" bestFit="1" customWidth="1"/>
    <col min="12808" max="12808" width="11.125" style="1" bestFit="1" customWidth="1"/>
    <col min="12809" max="13055" width="9" style="1"/>
    <col min="13056" max="13056" width="12" style="1" customWidth="1"/>
    <col min="13057" max="13057" width="11" style="1" bestFit="1" customWidth="1"/>
    <col min="13058" max="13058" width="11.5" style="1" bestFit="1" customWidth="1"/>
    <col min="13059" max="13059" width="10" style="1" customWidth="1"/>
    <col min="13060" max="13061" width="11" style="1" customWidth="1"/>
    <col min="13062" max="13062" width="11" style="1" bestFit="1" customWidth="1"/>
    <col min="13063" max="13063" width="11.5" style="1" bestFit="1" customWidth="1"/>
    <col min="13064" max="13064" width="11.125" style="1" bestFit="1" customWidth="1"/>
    <col min="13065" max="13311" width="9" style="1"/>
    <col min="13312" max="13312" width="12" style="1" customWidth="1"/>
    <col min="13313" max="13313" width="11" style="1" bestFit="1" customWidth="1"/>
    <col min="13314" max="13314" width="11.5" style="1" bestFit="1" customWidth="1"/>
    <col min="13315" max="13315" width="10" style="1" customWidth="1"/>
    <col min="13316" max="13317" width="11" style="1" customWidth="1"/>
    <col min="13318" max="13318" width="11" style="1" bestFit="1" customWidth="1"/>
    <col min="13319" max="13319" width="11.5" style="1" bestFit="1" customWidth="1"/>
    <col min="13320" max="13320" width="11.125" style="1" bestFit="1" customWidth="1"/>
    <col min="13321" max="13567" width="9" style="1"/>
    <col min="13568" max="13568" width="12" style="1" customWidth="1"/>
    <col min="13569" max="13569" width="11" style="1" bestFit="1" customWidth="1"/>
    <col min="13570" max="13570" width="11.5" style="1" bestFit="1" customWidth="1"/>
    <col min="13571" max="13571" width="10" style="1" customWidth="1"/>
    <col min="13572" max="13573" width="11" style="1" customWidth="1"/>
    <col min="13574" max="13574" width="11" style="1" bestFit="1" customWidth="1"/>
    <col min="13575" max="13575" width="11.5" style="1" bestFit="1" customWidth="1"/>
    <col min="13576" max="13576" width="11.125" style="1" bestFit="1" customWidth="1"/>
    <col min="13577" max="13823" width="9" style="1"/>
    <col min="13824" max="13824" width="12" style="1" customWidth="1"/>
    <col min="13825" max="13825" width="11" style="1" bestFit="1" customWidth="1"/>
    <col min="13826" max="13826" width="11.5" style="1" bestFit="1" customWidth="1"/>
    <col min="13827" max="13827" width="10" style="1" customWidth="1"/>
    <col min="13828" max="13829" width="11" style="1" customWidth="1"/>
    <col min="13830" max="13830" width="11" style="1" bestFit="1" customWidth="1"/>
    <col min="13831" max="13831" width="11.5" style="1" bestFit="1" customWidth="1"/>
    <col min="13832" max="13832" width="11.125" style="1" bestFit="1" customWidth="1"/>
    <col min="13833" max="14079" width="9" style="1"/>
    <col min="14080" max="14080" width="12" style="1" customWidth="1"/>
    <col min="14081" max="14081" width="11" style="1" bestFit="1" customWidth="1"/>
    <col min="14082" max="14082" width="11.5" style="1" bestFit="1" customWidth="1"/>
    <col min="14083" max="14083" width="10" style="1" customWidth="1"/>
    <col min="14084" max="14085" width="11" style="1" customWidth="1"/>
    <col min="14086" max="14086" width="11" style="1" bestFit="1" customWidth="1"/>
    <col min="14087" max="14087" width="11.5" style="1" bestFit="1" customWidth="1"/>
    <col min="14088" max="14088" width="11.125" style="1" bestFit="1" customWidth="1"/>
    <col min="14089" max="14335" width="9" style="1"/>
    <col min="14336" max="14336" width="12" style="1" customWidth="1"/>
    <col min="14337" max="14337" width="11" style="1" bestFit="1" customWidth="1"/>
    <col min="14338" max="14338" width="11.5" style="1" bestFit="1" customWidth="1"/>
    <col min="14339" max="14339" width="10" style="1" customWidth="1"/>
    <col min="14340" max="14341" width="11" style="1" customWidth="1"/>
    <col min="14342" max="14342" width="11" style="1" bestFit="1" customWidth="1"/>
    <col min="14343" max="14343" width="11.5" style="1" bestFit="1" customWidth="1"/>
    <col min="14344" max="14344" width="11.125" style="1" bestFit="1" customWidth="1"/>
    <col min="14345" max="14591" width="9" style="1"/>
    <col min="14592" max="14592" width="12" style="1" customWidth="1"/>
    <col min="14593" max="14593" width="11" style="1" bestFit="1" customWidth="1"/>
    <col min="14594" max="14594" width="11.5" style="1" bestFit="1" customWidth="1"/>
    <col min="14595" max="14595" width="10" style="1" customWidth="1"/>
    <col min="14596" max="14597" width="11" style="1" customWidth="1"/>
    <col min="14598" max="14598" width="11" style="1" bestFit="1" customWidth="1"/>
    <col min="14599" max="14599" width="11.5" style="1" bestFit="1" customWidth="1"/>
    <col min="14600" max="14600" width="11.125" style="1" bestFit="1" customWidth="1"/>
    <col min="14601" max="14847" width="9" style="1"/>
    <col min="14848" max="14848" width="12" style="1" customWidth="1"/>
    <col min="14849" max="14849" width="11" style="1" bestFit="1" customWidth="1"/>
    <col min="14850" max="14850" width="11.5" style="1" bestFit="1" customWidth="1"/>
    <col min="14851" max="14851" width="10" style="1" customWidth="1"/>
    <col min="14852" max="14853" width="11" style="1" customWidth="1"/>
    <col min="14854" max="14854" width="11" style="1" bestFit="1" customWidth="1"/>
    <col min="14855" max="14855" width="11.5" style="1" bestFit="1" customWidth="1"/>
    <col min="14856" max="14856" width="11.125" style="1" bestFit="1" customWidth="1"/>
    <col min="14857" max="15103" width="9" style="1"/>
    <col min="15104" max="15104" width="12" style="1" customWidth="1"/>
    <col min="15105" max="15105" width="11" style="1" bestFit="1" customWidth="1"/>
    <col min="15106" max="15106" width="11.5" style="1" bestFit="1" customWidth="1"/>
    <col min="15107" max="15107" width="10" style="1" customWidth="1"/>
    <col min="15108" max="15109" width="11" style="1" customWidth="1"/>
    <col min="15110" max="15110" width="11" style="1" bestFit="1" customWidth="1"/>
    <col min="15111" max="15111" width="11.5" style="1" bestFit="1" customWidth="1"/>
    <col min="15112" max="15112" width="11.125" style="1" bestFit="1" customWidth="1"/>
    <col min="15113" max="15359" width="9" style="1"/>
    <col min="15360" max="15360" width="12" style="1" customWidth="1"/>
    <col min="15361" max="15361" width="11" style="1" bestFit="1" customWidth="1"/>
    <col min="15362" max="15362" width="11.5" style="1" bestFit="1" customWidth="1"/>
    <col min="15363" max="15363" width="10" style="1" customWidth="1"/>
    <col min="15364" max="15365" width="11" style="1" customWidth="1"/>
    <col min="15366" max="15366" width="11" style="1" bestFit="1" customWidth="1"/>
    <col min="15367" max="15367" width="11.5" style="1" bestFit="1" customWidth="1"/>
    <col min="15368" max="15368" width="11.125" style="1" bestFit="1" customWidth="1"/>
    <col min="15369" max="15615" width="9" style="1"/>
    <col min="15616" max="15616" width="12" style="1" customWidth="1"/>
    <col min="15617" max="15617" width="11" style="1" bestFit="1" customWidth="1"/>
    <col min="15618" max="15618" width="11.5" style="1" bestFit="1" customWidth="1"/>
    <col min="15619" max="15619" width="10" style="1" customWidth="1"/>
    <col min="15620" max="15621" width="11" style="1" customWidth="1"/>
    <col min="15622" max="15622" width="11" style="1" bestFit="1" customWidth="1"/>
    <col min="15623" max="15623" width="11.5" style="1" bestFit="1" customWidth="1"/>
    <col min="15624" max="15624" width="11.125" style="1" bestFit="1" customWidth="1"/>
    <col min="15625" max="15871" width="9" style="1"/>
    <col min="15872" max="15872" width="12" style="1" customWidth="1"/>
    <col min="15873" max="15873" width="11" style="1" bestFit="1" customWidth="1"/>
    <col min="15874" max="15874" width="11.5" style="1" bestFit="1" customWidth="1"/>
    <col min="15875" max="15875" width="10" style="1" customWidth="1"/>
    <col min="15876" max="15877" width="11" style="1" customWidth="1"/>
    <col min="15878" max="15878" width="11" style="1" bestFit="1" customWidth="1"/>
    <col min="15879" max="15879" width="11.5" style="1" bestFit="1" customWidth="1"/>
    <col min="15880" max="15880" width="11.125" style="1" bestFit="1" customWidth="1"/>
    <col min="15881" max="16127" width="9" style="1"/>
    <col min="16128" max="16128" width="12" style="1" customWidth="1"/>
    <col min="16129" max="16129" width="11" style="1" bestFit="1" customWidth="1"/>
    <col min="16130" max="16130" width="11.5" style="1" bestFit="1" customWidth="1"/>
    <col min="16131" max="16131" width="10" style="1" customWidth="1"/>
    <col min="16132" max="16133" width="11" style="1" customWidth="1"/>
    <col min="16134" max="16134" width="11" style="1" bestFit="1" customWidth="1"/>
    <col min="16135" max="16135" width="11.5" style="1" bestFit="1" customWidth="1"/>
    <col min="16136" max="16136" width="11.125" style="1" bestFit="1" customWidth="1"/>
    <col min="16137" max="16384" width="9" style="1"/>
  </cols>
  <sheetData>
    <row r="1" spans="1:9">
      <c r="A1" s="1" t="s">
        <v>53</v>
      </c>
      <c r="B1" s="6"/>
      <c r="C1" s="6"/>
      <c r="D1" s="6"/>
      <c r="F1" s="1" t="s">
        <v>54</v>
      </c>
    </row>
    <row r="2" spans="1:9">
      <c r="A2" s="4" t="s">
        <v>55</v>
      </c>
      <c r="B2" s="4" t="s">
        <v>56</v>
      </c>
      <c r="C2" s="4" t="s">
        <v>57</v>
      </c>
      <c r="D2" s="7" t="s">
        <v>58</v>
      </c>
      <c r="F2" s="4" t="s">
        <v>59</v>
      </c>
      <c r="G2" s="4" t="s">
        <v>60</v>
      </c>
      <c r="H2" s="4" t="s">
        <v>61</v>
      </c>
      <c r="I2" s="7" t="s">
        <v>62</v>
      </c>
    </row>
    <row r="3" spans="1:9">
      <c r="A3" s="8" t="s">
        <v>63</v>
      </c>
      <c r="B3" s="4" t="s">
        <v>64</v>
      </c>
      <c r="C3" s="9">
        <v>184</v>
      </c>
      <c r="D3" s="10" t="str">
        <f>VLOOKUP(RIGHT(A3,1),$A$11:$B$13,2,FALSE)</f>
        <v>TV</v>
      </c>
      <c r="F3" s="4" t="s">
        <v>65</v>
      </c>
      <c r="G3" s="4" t="s">
        <v>241</v>
      </c>
      <c r="H3" s="11">
        <v>1500000</v>
      </c>
      <c r="I3" s="9" t="str">
        <f>IF(_xlfn.RANK.EQ(H3,$H$3:$H$11,0)&lt;=3,"보험료인상","")</f>
        <v/>
      </c>
    </row>
    <row r="4" spans="1:9">
      <c r="A4" s="8" t="s">
        <v>66</v>
      </c>
      <c r="B4" s="4" t="s">
        <v>67</v>
      </c>
      <c r="C4" s="9">
        <v>99</v>
      </c>
      <c r="D4" s="10" t="str">
        <f t="shared" ref="D4:D7" si="0">VLOOKUP(RIGHT(A4,1),$A$11:$B$13,2,FALSE)</f>
        <v>냉장고</v>
      </c>
      <c r="F4" s="4" t="s">
        <v>68</v>
      </c>
      <c r="G4" s="4" t="s">
        <v>242</v>
      </c>
      <c r="H4" s="11">
        <v>2800000</v>
      </c>
      <c r="I4" s="9" t="str">
        <f t="shared" ref="I4:I11" si="1">IF(_xlfn.RANK.EQ(H4,$H$3:$H$11,0)&lt;=3,"보험료인상","")</f>
        <v/>
      </c>
    </row>
    <row r="5" spans="1:9">
      <c r="A5" s="8" t="s">
        <v>69</v>
      </c>
      <c r="B5" s="4" t="s">
        <v>64</v>
      </c>
      <c r="C5" s="9">
        <v>174</v>
      </c>
      <c r="D5" s="10" t="str">
        <f t="shared" si="0"/>
        <v>세탁기</v>
      </c>
      <c r="F5" s="4" t="s">
        <v>70</v>
      </c>
      <c r="G5" s="4" t="s">
        <v>243</v>
      </c>
      <c r="H5" s="11">
        <v>3800000</v>
      </c>
      <c r="I5" s="9" t="str">
        <f t="shared" si="1"/>
        <v>보험료인상</v>
      </c>
    </row>
    <row r="6" spans="1:9">
      <c r="A6" s="8" t="s">
        <v>63</v>
      </c>
      <c r="B6" s="4" t="s">
        <v>71</v>
      </c>
      <c r="C6" s="9">
        <v>86</v>
      </c>
      <c r="D6" s="10" t="str">
        <f t="shared" si="0"/>
        <v>TV</v>
      </c>
      <c r="F6" s="4" t="s">
        <v>72</v>
      </c>
      <c r="G6" s="4" t="s">
        <v>242</v>
      </c>
      <c r="H6" s="11">
        <v>2680000</v>
      </c>
      <c r="I6" s="9" t="str">
        <f t="shared" si="1"/>
        <v/>
      </c>
    </row>
    <row r="7" spans="1:9">
      <c r="A7" s="8" t="s">
        <v>66</v>
      </c>
      <c r="B7" s="4" t="s">
        <v>71</v>
      </c>
      <c r="C7" s="9">
        <v>138</v>
      </c>
      <c r="D7" s="10" t="str">
        <f t="shared" si="0"/>
        <v>냉장고</v>
      </c>
      <c r="F7" s="4" t="s">
        <v>73</v>
      </c>
      <c r="G7" s="4" t="s">
        <v>242</v>
      </c>
      <c r="H7" s="11">
        <v>3250000</v>
      </c>
      <c r="I7" s="9" t="str">
        <f t="shared" si="1"/>
        <v/>
      </c>
    </row>
    <row r="8" spans="1:9">
      <c r="A8" s="22"/>
      <c r="B8" s="3"/>
      <c r="C8" s="23"/>
      <c r="D8" s="24"/>
      <c r="F8" s="4" t="s">
        <v>74</v>
      </c>
      <c r="G8" s="4" t="s">
        <v>243</v>
      </c>
      <c r="H8" s="11">
        <v>4250000</v>
      </c>
      <c r="I8" s="9" t="str">
        <f t="shared" si="1"/>
        <v>보험료인상</v>
      </c>
    </row>
    <row r="9" spans="1:9">
      <c r="A9" s="48" t="s">
        <v>134</v>
      </c>
      <c r="B9" s="48"/>
      <c r="F9" s="4" t="s">
        <v>76</v>
      </c>
      <c r="G9" s="4" t="s">
        <v>243</v>
      </c>
      <c r="H9" s="11">
        <v>4000000</v>
      </c>
      <c r="I9" s="9" t="str">
        <f t="shared" si="1"/>
        <v>보험료인상</v>
      </c>
    </row>
    <row r="10" spans="1:9">
      <c r="A10" s="4" t="s">
        <v>75</v>
      </c>
      <c r="B10" s="4" t="s">
        <v>58</v>
      </c>
      <c r="F10" s="4" t="s">
        <v>79</v>
      </c>
      <c r="G10" s="4" t="s">
        <v>241</v>
      </c>
      <c r="H10" s="11">
        <v>1200000</v>
      </c>
      <c r="I10" s="9" t="str">
        <f t="shared" si="1"/>
        <v/>
      </c>
    </row>
    <row r="11" spans="1:9">
      <c r="A11" s="8" t="s">
        <v>77</v>
      </c>
      <c r="B11" s="4" t="s">
        <v>78</v>
      </c>
      <c r="F11" s="4" t="s">
        <v>82</v>
      </c>
      <c r="G11" s="4" t="s">
        <v>242</v>
      </c>
      <c r="H11" s="11">
        <v>2000000</v>
      </c>
      <c r="I11" s="9" t="str">
        <f t="shared" si="1"/>
        <v/>
      </c>
    </row>
    <row r="12" spans="1:9">
      <c r="A12" s="8" t="s">
        <v>80</v>
      </c>
      <c r="B12" s="4" t="s">
        <v>81</v>
      </c>
      <c r="E12" s="1"/>
    </row>
    <row r="13" spans="1:9">
      <c r="A13" s="8" t="s">
        <v>83</v>
      </c>
      <c r="B13" s="4" t="s">
        <v>84</v>
      </c>
      <c r="E13" s="12" t="s">
        <v>135</v>
      </c>
      <c r="I13" s="3"/>
    </row>
    <row r="14" spans="1:9">
      <c r="E14" s="14" t="s">
        <v>86</v>
      </c>
      <c r="F14" s="14" t="s">
        <v>87</v>
      </c>
      <c r="G14" s="14" t="s">
        <v>88</v>
      </c>
      <c r="H14" s="15" t="s">
        <v>89</v>
      </c>
      <c r="I14" s="15" t="s">
        <v>90</v>
      </c>
    </row>
    <row r="15" spans="1:9">
      <c r="A15" s="13" t="s">
        <v>85</v>
      </c>
      <c r="E15" s="14" t="s">
        <v>93</v>
      </c>
      <c r="F15" s="14" t="s">
        <v>94</v>
      </c>
      <c r="G15" s="14" t="s">
        <v>95</v>
      </c>
      <c r="H15" s="11">
        <v>1600000</v>
      </c>
      <c r="I15" s="11">
        <f>ROUND(H15+H15*35%,-4)</f>
        <v>2160000</v>
      </c>
    </row>
    <row r="16" spans="1:9">
      <c r="A16" s="4" t="s">
        <v>86</v>
      </c>
      <c r="B16" s="4" t="s">
        <v>91</v>
      </c>
      <c r="C16" s="7" t="s">
        <v>92</v>
      </c>
      <c r="E16" s="14" t="s">
        <v>97</v>
      </c>
      <c r="F16" s="14" t="s">
        <v>98</v>
      </c>
      <c r="G16" s="14" t="s">
        <v>99</v>
      </c>
      <c r="H16" s="11">
        <v>2200000</v>
      </c>
      <c r="I16" s="11">
        <f t="shared" ref="I16:I23" si="2">ROUND(H16+H16*35%,-4)</f>
        <v>2970000</v>
      </c>
    </row>
    <row r="17" spans="1:9">
      <c r="A17" s="4" t="s">
        <v>96</v>
      </c>
      <c r="B17" s="16">
        <v>31949</v>
      </c>
      <c r="C17" s="17" t="str">
        <f>CHOOSE(WEEKDAY(B17,2),"월요일","화요일","수요일","목요일","금요일","토요일","일요일")</f>
        <v>일요일</v>
      </c>
      <c r="E17" s="14" t="s">
        <v>101</v>
      </c>
      <c r="F17" s="14" t="s">
        <v>102</v>
      </c>
      <c r="G17" s="14" t="s">
        <v>103</v>
      </c>
      <c r="H17" s="11">
        <v>1850000</v>
      </c>
      <c r="I17" s="11">
        <f t="shared" si="2"/>
        <v>2500000</v>
      </c>
    </row>
    <row r="18" spans="1:9">
      <c r="A18" s="4" t="s">
        <v>100</v>
      </c>
      <c r="B18" s="16">
        <v>31337</v>
      </c>
      <c r="C18" s="17" t="str">
        <f t="shared" ref="C18:C24" si="3">CHOOSE(WEEKDAY(B18,2),"월요일","화요일","수요일","목요일","금요일","토요일","일요일")</f>
        <v>목요일</v>
      </c>
      <c r="E18" s="14" t="s">
        <v>105</v>
      </c>
      <c r="F18" s="14" t="s">
        <v>98</v>
      </c>
      <c r="G18" s="14" t="s">
        <v>95</v>
      </c>
      <c r="H18" s="11">
        <v>2000000</v>
      </c>
      <c r="I18" s="11">
        <f t="shared" si="2"/>
        <v>2700000</v>
      </c>
    </row>
    <row r="19" spans="1:9">
      <c r="A19" s="4" t="s">
        <v>104</v>
      </c>
      <c r="B19" s="16">
        <v>31647</v>
      </c>
      <c r="C19" s="17" t="str">
        <f t="shared" si="3"/>
        <v>토요일</v>
      </c>
      <c r="E19" s="14" t="s">
        <v>107</v>
      </c>
      <c r="F19" s="14" t="s">
        <v>94</v>
      </c>
      <c r="G19" s="14" t="s">
        <v>99</v>
      </c>
      <c r="H19" s="11">
        <v>1700000</v>
      </c>
      <c r="I19" s="11">
        <f t="shared" si="2"/>
        <v>2300000</v>
      </c>
    </row>
    <row r="20" spans="1:9">
      <c r="A20" s="4" t="s">
        <v>106</v>
      </c>
      <c r="B20" s="16">
        <v>32480</v>
      </c>
      <c r="C20" s="17" t="str">
        <f t="shared" si="3"/>
        <v>토요일</v>
      </c>
      <c r="E20" s="14" t="s">
        <v>109</v>
      </c>
      <c r="F20" s="14" t="s">
        <v>98</v>
      </c>
      <c r="G20" s="14" t="s">
        <v>103</v>
      </c>
      <c r="H20" s="11">
        <v>2150000</v>
      </c>
      <c r="I20" s="11">
        <f t="shared" si="2"/>
        <v>2900000</v>
      </c>
    </row>
    <row r="21" spans="1:9">
      <c r="A21" s="4" t="s">
        <v>108</v>
      </c>
      <c r="B21" s="16">
        <v>31928</v>
      </c>
      <c r="C21" s="17" t="str">
        <f t="shared" si="3"/>
        <v>일요일</v>
      </c>
      <c r="E21" s="14" t="s">
        <v>111</v>
      </c>
      <c r="F21" s="14" t="s">
        <v>102</v>
      </c>
      <c r="G21" s="14" t="s">
        <v>99</v>
      </c>
      <c r="H21" s="11">
        <v>1800000</v>
      </c>
      <c r="I21" s="11">
        <f t="shared" si="2"/>
        <v>2430000</v>
      </c>
    </row>
    <row r="22" spans="1:9">
      <c r="A22" s="4" t="s">
        <v>110</v>
      </c>
      <c r="B22" s="16">
        <v>31451</v>
      </c>
      <c r="C22" s="17" t="str">
        <f t="shared" si="3"/>
        <v>토요일</v>
      </c>
      <c r="E22" s="14" t="s">
        <v>113</v>
      </c>
      <c r="F22" s="14" t="s">
        <v>102</v>
      </c>
      <c r="G22" s="14" t="s">
        <v>95</v>
      </c>
      <c r="H22" s="11">
        <v>1800000</v>
      </c>
      <c r="I22" s="11">
        <f t="shared" si="2"/>
        <v>2430000</v>
      </c>
    </row>
    <row r="23" spans="1:9">
      <c r="A23" s="4" t="s">
        <v>112</v>
      </c>
      <c r="B23" s="16">
        <v>32227</v>
      </c>
      <c r="C23" s="17" t="str">
        <f t="shared" si="3"/>
        <v>금요일</v>
      </c>
      <c r="E23" s="14" t="s">
        <v>115</v>
      </c>
      <c r="F23" s="14" t="s">
        <v>94</v>
      </c>
      <c r="G23" s="14" t="s">
        <v>103</v>
      </c>
      <c r="H23" s="11">
        <v>1650000</v>
      </c>
      <c r="I23" s="11">
        <f t="shared" si="2"/>
        <v>2230000</v>
      </c>
    </row>
    <row r="24" spans="1:9">
      <c r="A24" s="4" t="s">
        <v>114</v>
      </c>
      <c r="B24" s="16">
        <v>31202</v>
      </c>
      <c r="C24" s="17" t="str">
        <f t="shared" si="3"/>
        <v>화요일</v>
      </c>
      <c r="E24" s="49" t="s">
        <v>116</v>
      </c>
      <c r="F24" s="50"/>
      <c r="G24" s="50"/>
      <c r="H24" s="51"/>
      <c r="I24" s="11">
        <f>SUMIF(G15:G23,"생산부",I15:I23)/COUNTIF(G15:G23,"생산부")</f>
        <v>2543333.3333333335</v>
      </c>
    </row>
    <row r="25" spans="1:9">
      <c r="E25" s="1"/>
    </row>
    <row r="26" spans="1:9">
      <c r="A26" s="1" t="s">
        <v>117</v>
      </c>
    </row>
    <row r="27" spans="1:9">
      <c r="A27" s="4" t="s">
        <v>58</v>
      </c>
      <c r="B27" s="4" t="s">
        <v>118</v>
      </c>
      <c r="C27" s="4" t="s">
        <v>129</v>
      </c>
      <c r="D27" s="4" t="s">
        <v>130</v>
      </c>
      <c r="E27" s="4" t="s">
        <v>131</v>
      </c>
    </row>
    <row r="28" spans="1:9">
      <c r="A28" s="4" t="s">
        <v>119</v>
      </c>
      <c r="B28" s="4" t="s">
        <v>120</v>
      </c>
      <c r="C28" s="11">
        <v>700000</v>
      </c>
      <c r="D28" s="11">
        <v>88</v>
      </c>
      <c r="E28" s="11">
        <f>C28*D28</f>
        <v>61600000</v>
      </c>
    </row>
    <row r="29" spans="1:9">
      <c r="A29" s="4" t="s">
        <v>121</v>
      </c>
      <c r="B29" s="4" t="s">
        <v>132</v>
      </c>
      <c r="C29" s="11">
        <v>250000</v>
      </c>
      <c r="D29" s="11">
        <v>92</v>
      </c>
      <c r="E29" s="11">
        <f t="shared" ref="E29:E36" si="4">C29*D29</f>
        <v>23000000</v>
      </c>
    </row>
    <row r="30" spans="1:9">
      <c r="A30" s="4" t="s">
        <v>122</v>
      </c>
      <c r="B30" s="4" t="s">
        <v>120</v>
      </c>
      <c r="C30" s="11">
        <v>450000</v>
      </c>
      <c r="D30" s="11">
        <v>86</v>
      </c>
      <c r="E30" s="11">
        <f t="shared" si="4"/>
        <v>38700000</v>
      </c>
    </row>
    <row r="31" spans="1:9">
      <c r="A31" s="4" t="s">
        <v>119</v>
      </c>
      <c r="B31" s="4" t="s">
        <v>132</v>
      </c>
      <c r="C31" s="11">
        <v>700000</v>
      </c>
      <c r="D31" s="11">
        <v>102</v>
      </c>
      <c r="E31" s="11">
        <f t="shared" si="4"/>
        <v>71400000</v>
      </c>
    </row>
    <row r="32" spans="1:9">
      <c r="A32" s="4" t="s">
        <v>121</v>
      </c>
      <c r="B32" s="4" t="s">
        <v>133</v>
      </c>
      <c r="C32" s="11">
        <v>250000</v>
      </c>
      <c r="D32" s="11">
        <v>86</v>
      </c>
      <c r="E32" s="11">
        <f t="shared" si="4"/>
        <v>21500000</v>
      </c>
    </row>
    <row r="33" spans="1:8">
      <c r="A33" s="4" t="s">
        <v>121</v>
      </c>
      <c r="B33" s="4" t="s">
        <v>120</v>
      </c>
      <c r="C33" s="11">
        <v>250000</v>
      </c>
      <c r="D33" s="11">
        <v>99</v>
      </c>
      <c r="E33" s="11">
        <f t="shared" si="4"/>
        <v>24750000</v>
      </c>
    </row>
    <row r="34" spans="1:8">
      <c r="A34" s="4" t="s">
        <v>119</v>
      </c>
      <c r="B34" s="4" t="s">
        <v>133</v>
      </c>
      <c r="C34" s="11">
        <v>700000</v>
      </c>
      <c r="D34" s="11">
        <v>111</v>
      </c>
      <c r="E34" s="11">
        <f t="shared" si="4"/>
        <v>77700000</v>
      </c>
    </row>
    <row r="35" spans="1:8">
      <c r="A35" s="4" t="s">
        <v>122</v>
      </c>
      <c r="B35" s="4" t="s">
        <v>132</v>
      </c>
      <c r="C35" s="11">
        <v>450000</v>
      </c>
      <c r="D35" s="11">
        <v>100</v>
      </c>
      <c r="E35" s="11">
        <f t="shared" si="4"/>
        <v>45000000</v>
      </c>
      <c r="G35" s="49" t="s">
        <v>172</v>
      </c>
      <c r="H35" s="51"/>
    </row>
    <row r="36" spans="1:8">
      <c r="A36" s="4" t="s">
        <v>122</v>
      </c>
      <c r="B36" s="4" t="s">
        <v>133</v>
      </c>
      <c r="C36" s="11">
        <v>450000</v>
      </c>
      <c r="D36" s="11">
        <v>76</v>
      </c>
      <c r="E36" s="11">
        <f t="shared" si="4"/>
        <v>34200000</v>
      </c>
      <c r="G36" s="52" t="str">
        <f>ROUNDUP(DAVERAGE(A27:E36,E27,B27:B28),-3)&amp;"원"</f>
        <v>41684000원</v>
      </c>
      <c r="H36" s="53"/>
    </row>
  </sheetData>
  <mergeCells count="4">
    <mergeCell ref="A9:B9"/>
    <mergeCell ref="E24:H24"/>
    <mergeCell ref="G35:H35"/>
    <mergeCell ref="G36:H36"/>
  </mergeCells>
  <phoneticPr fontId="1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2"/>
  <sheetViews>
    <sheetView workbookViewId="0">
      <selection sqref="A1:H1"/>
    </sheetView>
  </sheetViews>
  <sheetFormatPr defaultRowHeight="16.5"/>
  <cols>
    <col min="1" max="1" width="9.375" style="1" customWidth="1"/>
    <col min="2" max="5" width="15.25" style="1" customWidth="1"/>
    <col min="6" max="6" width="15.875" style="1" customWidth="1"/>
    <col min="7" max="7" width="20.125" style="1" customWidth="1"/>
    <col min="8" max="8" width="9.375" style="1" bestFit="1" customWidth="1"/>
    <col min="9" max="244" width="9" style="1"/>
    <col min="245" max="245" width="18.25" style="1" bestFit="1" customWidth="1"/>
    <col min="246" max="246" width="13.875" style="1" customWidth="1"/>
    <col min="247" max="247" width="15.5" style="1" bestFit="1" customWidth="1"/>
    <col min="248" max="249" width="15.5" style="1" customWidth="1"/>
    <col min="250" max="250" width="13" style="1" bestFit="1" customWidth="1"/>
    <col min="251" max="251" width="10.25" style="1" customWidth="1"/>
    <col min="252" max="252" width="9" style="1"/>
    <col min="253" max="253" width="11" style="1" customWidth="1"/>
    <col min="254" max="257" width="9" style="1"/>
    <col min="258" max="258" width="11.875" style="1" customWidth="1"/>
    <col min="259" max="500" width="9" style="1"/>
    <col min="501" max="501" width="18.25" style="1" bestFit="1" customWidth="1"/>
    <col min="502" max="502" width="13.875" style="1" customWidth="1"/>
    <col min="503" max="503" width="15.5" style="1" bestFit="1" customWidth="1"/>
    <col min="504" max="505" width="15.5" style="1" customWidth="1"/>
    <col min="506" max="506" width="13" style="1" bestFit="1" customWidth="1"/>
    <col min="507" max="507" width="10.25" style="1" customWidth="1"/>
    <col min="508" max="508" width="9" style="1"/>
    <col min="509" max="509" width="11" style="1" customWidth="1"/>
    <col min="510" max="513" width="9" style="1"/>
    <col min="514" max="514" width="11.875" style="1" customWidth="1"/>
    <col min="515" max="756" width="9" style="1"/>
    <col min="757" max="757" width="18.25" style="1" bestFit="1" customWidth="1"/>
    <col min="758" max="758" width="13.875" style="1" customWidth="1"/>
    <col min="759" max="759" width="15.5" style="1" bestFit="1" customWidth="1"/>
    <col min="760" max="761" width="15.5" style="1" customWidth="1"/>
    <col min="762" max="762" width="13" style="1" bestFit="1" customWidth="1"/>
    <col min="763" max="763" width="10.25" style="1" customWidth="1"/>
    <col min="764" max="764" width="9" style="1"/>
    <col min="765" max="765" width="11" style="1" customWidth="1"/>
    <col min="766" max="769" width="9" style="1"/>
    <col min="770" max="770" width="11.875" style="1" customWidth="1"/>
    <col min="771" max="1012" width="9" style="1"/>
    <col min="1013" max="1013" width="18.25" style="1" bestFit="1" customWidth="1"/>
    <col min="1014" max="1014" width="13.875" style="1" customWidth="1"/>
    <col min="1015" max="1015" width="15.5" style="1" bestFit="1" customWidth="1"/>
    <col min="1016" max="1017" width="15.5" style="1" customWidth="1"/>
    <col min="1018" max="1018" width="13" style="1" bestFit="1" customWidth="1"/>
    <col min="1019" max="1019" width="10.25" style="1" customWidth="1"/>
    <col min="1020" max="1020" width="9" style="1"/>
    <col min="1021" max="1021" width="11" style="1" customWidth="1"/>
    <col min="1022" max="1025" width="9" style="1"/>
    <col min="1026" max="1026" width="11.875" style="1" customWidth="1"/>
    <col min="1027" max="1268" width="9" style="1"/>
    <col min="1269" max="1269" width="18.25" style="1" bestFit="1" customWidth="1"/>
    <col min="1270" max="1270" width="13.875" style="1" customWidth="1"/>
    <col min="1271" max="1271" width="15.5" style="1" bestFit="1" customWidth="1"/>
    <col min="1272" max="1273" width="15.5" style="1" customWidth="1"/>
    <col min="1274" max="1274" width="13" style="1" bestFit="1" customWidth="1"/>
    <col min="1275" max="1275" width="10.25" style="1" customWidth="1"/>
    <col min="1276" max="1276" width="9" style="1"/>
    <col min="1277" max="1277" width="11" style="1" customWidth="1"/>
    <col min="1278" max="1281" width="9" style="1"/>
    <col min="1282" max="1282" width="11.875" style="1" customWidth="1"/>
    <col min="1283" max="1524" width="9" style="1"/>
    <col min="1525" max="1525" width="18.25" style="1" bestFit="1" customWidth="1"/>
    <col min="1526" max="1526" width="13.875" style="1" customWidth="1"/>
    <col min="1527" max="1527" width="15.5" style="1" bestFit="1" customWidth="1"/>
    <col min="1528" max="1529" width="15.5" style="1" customWidth="1"/>
    <col min="1530" max="1530" width="13" style="1" bestFit="1" customWidth="1"/>
    <col min="1531" max="1531" width="10.25" style="1" customWidth="1"/>
    <col min="1532" max="1532" width="9" style="1"/>
    <col min="1533" max="1533" width="11" style="1" customWidth="1"/>
    <col min="1534" max="1537" width="9" style="1"/>
    <col min="1538" max="1538" width="11.875" style="1" customWidth="1"/>
    <col min="1539" max="1780" width="9" style="1"/>
    <col min="1781" max="1781" width="18.25" style="1" bestFit="1" customWidth="1"/>
    <col min="1782" max="1782" width="13.875" style="1" customWidth="1"/>
    <col min="1783" max="1783" width="15.5" style="1" bestFit="1" customWidth="1"/>
    <col min="1784" max="1785" width="15.5" style="1" customWidth="1"/>
    <col min="1786" max="1786" width="13" style="1" bestFit="1" customWidth="1"/>
    <col min="1787" max="1787" width="10.25" style="1" customWidth="1"/>
    <col min="1788" max="1788" width="9" style="1"/>
    <col min="1789" max="1789" width="11" style="1" customWidth="1"/>
    <col min="1790" max="1793" width="9" style="1"/>
    <col min="1794" max="1794" width="11.875" style="1" customWidth="1"/>
    <col min="1795" max="2036" width="9" style="1"/>
    <col min="2037" max="2037" width="18.25" style="1" bestFit="1" customWidth="1"/>
    <col min="2038" max="2038" width="13.875" style="1" customWidth="1"/>
    <col min="2039" max="2039" width="15.5" style="1" bestFit="1" customWidth="1"/>
    <col min="2040" max="2041" width="15.5" style="1" customWidth="1"/>
    <col min="2042" max="2042" width="13" style="1" bestFit="1" customWidth="1"/>
    <col min="2043" max="2043" width="10.25" style="1" customWidth="1"/>
    <col min="2044" max="2044" width="9" style="1"/>
    <col min="2045" max="2045" width="11" style="1" customWidth="1"/>
    <col min="2046" max="2049" width="9" style="1"/>
    <col min="2050" max="2050" width="11.875" style="1" customWidth="1"/>
    <col min="2051" max="2292" width="9" style="1"/>
    <col min="2293" max="2293" width="18.25" style="1" bestFit="1" customWidth="1"/>
    <col min="2294" max="2294" width="13.875" style="1" customWidth="1"/>
    <col min="2295" max="2295" width="15.5" style="1" bestFit="1" customWidth="1"/>
    <col min="2296" max="2297" width="15.5" style="1" customWidth="1"/>
    <col min="2298" max="2298" width="13" style="1" bestFit="1" customWidth="1"/>
    <col min="2299" max="2299" width="10.25" style="1" customWidth="1"/>
    <col min="2300" max="2300" width="9" style="1"/>
    <col min="2301" max="2301" width="11" style="1" customWidth="1"/>
    <col min="2302" max="2305" width="9" style="1"/>
    <col min="2306" max="2306" width="11.875" style="1" customWidth="1"/>
    <col min="2307" max="2548" width="9" style="1"/>
    <col min="2549" max="2549" width="18.25" style="1" bestFit="1" customWidth="1"/>
    <col min="2550" max="2550" width="13.875" style="1" customWidth="1"/>
    <col min="2551" max="2551" width="15.5" style="1" bestFit="1" customWidth="1"/>
    <col min="2552" max="2553" width="15.5" style="1" customWidth="1"/>
    <col min="2554" max="2554" width="13" style="1" bestFit="1" customWidth="1"/>
    <col min="2555" max="2555" width="10.25" style="1" customWidth="1"/>
    <col min="2556" max="2556" width="9" style="1"/>
    <col min="2557" max="2557" width="11" style="1" customWidth="1"/>
    <col min="2558" max="2561" width="9" style="1"/>
    <col min="2562" max="2562" width="11.875" style="1" customWidth="1"/>
    <col min="2563" max="2804" width="9" style="1"/>
    <col min="2805" max="2805" width="18.25" style="1" bestFit="1" customWidth="1"/>
    <col min="2806" max="2806" width="13.875" style="1" customWidth="1"/>
    <col min="2807" max="2807" width="15.5" style="1" bestFit="1" customWidth="1"/>
    <col min="2808" max="2809" width="15.5" style="1" customWidth="1"/>
    <col min="2810" max="2810" width="13" style="1" bestFit="1" customWidth="1"/>
    <col min="2811" max="2811" width="10.25" style="1" customWidth="1"/>
    <col min="2812" max="2812" width="9" style="1"/>
    <col min="2813" max="2813" width="11" style="1" customWidth="1"/>
    <col min="2814" max="2817" width="9" style="1"/>
    <col min="2818" max="2818" width="11.875" style="1" customWidth="1"/>
    <col min="2819" max="3060" width="9" style="1"/>
    <col min="3061" max="3061" width="18.25" style="1" bestFit="1" customWidth="1"/>
    <col min="3062" max="3062" width="13.875" style="1" customWidth="1"/>
    <col min="3063" max="3063" width="15.5" style="1" bestFit="1" customWidth="1"/>
    <col min="3064" max="3065" width="15.5" style="1" customWidth="1"/>
    <col min="3066" max="3066" width="13" style="1" bestFit="1" customWidth="1"/>
    <col min="3067" max="3067" width="10.25" style="1" customWidth="1"/>
    <col min="3068" max="3068" width="9" style="1"/>
    <col min="3069" max="3069" width="11" style="1" customWidth="1"/>
    <col min="3070" max="3073" width="9" style="1"/>
    <col min="3074" max="3074" width="11.875" style="1" customWidth="1"/>
    <col min="3075" max="3316" width="9" style="1"/>
    <col min="3317" max="3317" width="18.25" style="1" bestFit="1" customWidth="1"/>
    <col min="3318" max="3318" width="13.875" style="1" customWidth="1"/>
    <col min="3319" max="3319" width="15.5" style="1" bestFit="1" customWidth="1"/>
    <col min="3320" max="3321" width="15.5" style="1" customWidth="1"/>
    <col min="3322" max="3322" width="13" style="1" bestFit="1" customWidth="1"/>
    <col min="3323" max="3323" width="10.25" style="1" customWidth="1"/>
    <col min="3324" max="3324" width="9" style="1"/>
    <col min="3325" max="3325" width="11" style="1" customWidth="1"/>
    <col min="3326" max="3329" width="9" style="1"/>
    <col min="3330" max="3330" width="11.875" style="1" customWidth="1"/>
    <col min="3331" max="3572" width="9" style="1"/>
    <col min="3573" max="3573" width="18.25" style="1" bestFit="1" customWidth="1"/>
    <col min="3574" max="3574" width="13.875" style="1" customWidth="1"/>
    <col min="3575" max="3575" width="15.5" style="1" bestFit="1" customWidth="1"/>
    <col min="3576" max="3577" width="15.5" style="1" customWidth="1"/>
    <col min="3578" max="3578" width="13" style="1" bestFit="1" customWidth="1"/>
    <col min="3579" max="3579" width="10.25" style="1" customWidth="1"/>
    <col min="3580" max="3580" width="9" style="1"/>
    <col min="3581" max="3581" width="11" style="1" customWidth="1"/>
    <col min="3582" max="3585" width="9" style="1"/>
    <col min="3586" max="3586" width="11.875" style="1" customWidth="1"/>
    <col min="3587" max="3828" width="9" style="1"/>
    <col min="3829" max="3829" width="18.25" style="1" bestFit="1" customWidth="1"/>
    <col min="3830" max="3830" width="13.875" style="1" customWidth="1"/>
    <col min="3831" max="3831" width="15.5" style="1" bestFit="1" customWidth="1"/>
    <col min="3832" max="3833" width="15.5" style="1" customWidth="1"/>
    <col min="3834" max="3834" width="13" style="1" bestFit="1" customWidth="1"/>
    <col min="3835" max="3835" width="10.25" style="1" customWidth="1"/>
    <col min="3836" max="3836" width="9" style="1"/>
    <col min="3837" max="3837" width="11" style="1" customWidth="1"/>
    <col min="3838" max="3841" width="9" style="1"/>
    <col min="3842" max="3842" width="11.875" style="1" customWidth="1"/>
    <col min="3843" max="4084" width="9" style="1"/>
    <col min="4085" max="4085" width="18.25" style="1" bestFit="1" customWidth="1"/>
    <col min="4086" max="4086" width="13.875" style="1" customWidth="1"/>
    <col min="4087" max="4087" width="15.5" style="1" bestFit="1" customWidth="1"/>
    <col min="4088" max="4089" width="15.5" style="1" customWidth="1"/>
    <col min="4090" max="4090" width="13" style="1" bestFit="1" customWidth="1"/>
    <col min="4091" max="4091" width="10.25" style="1" customWidth="1"/>
    <col min="4092" max="4092" width="9" style="1"/>
    <col min="4093" max="4093" width="11" style="1" customWidth="1"/>
    <col min="4094" max="4097" width="9" style="1"/>
    <col min="4098" max="4098" width="11.875" style="1" customWidth="1"/>
    <col min="4099" max="4340" width="9" style="1"/>
    <col min="4341" max="4341" width="18.25" style="1" bestFit="1" customWidth="1"/>
    <col min="4342" max="4342" width="13.875" style="1" customWidth="1"/>
    <col min="4343" max="4343" width="15.5" style="1" bestFit="1" customWidth="1"/>
    <col min="4344" max="4345" width="15.5" style="1" customWidth="1"/>
    <col min="4346" max="4346" width="13" style="1" bestFit="1" customWidth="1"/>
    <col min="4347" max="4347" width="10.25" style="1" customWidth="1"/>
    <col min="4348" max="4348" width="9" style="1"/>
    <col min="4349" max="4349" width="11" style="1" customWidth="1"/>
    <col min="4350" max="4353" width="9" style="1"/>
    <col min="4354" max="4354" width="11.875" style="1" customWidth="1"/>
    <col min="4355" max="4596" width="9" style="1"/>
    <col min="4597" max="4597" width="18.25" style="1" bestFit="1" customWidth="1"/>
    <col min="4598" max="4598" width="13.875" style="1" customWidth="1"/>
    <col min="4599" max="4599" width="15.5" style="1" bestFit="1" customWidth="1"/>
    <col min="4600" max="4601" width="15.5" style="1" customWidth="1"/>
    <col min="4602" max="4602" width="13" style="1" bestFit="1" customWidth="1"/>
    <col min="4603" max="4603" width="10.25" style="1" customWidth="1"/>
    <col min="4604" max="4604" width="9" style="1"/>
    <col min="4605" max="4605" width="11" style="1" customWidth="1"/>
    <col min="4606" max="4609" width="9" style="1"/>
    <col min="4610" max="4610" width="11.875" style="1" customWidth="1"/>
    <col min="4611" max="4852" width="9" style="1"/>
    <col min="4853" max="4853" width="18.25" style="1" bestFit="1" customWidth="1"/>
    <col min="4854" max="4854" width="13.875" style="1" customWidth="1"/>
    <col min="4855" max="4855" width="15.5" style="1" bestFit="1" customWidth="1"/>
    <col min="4856" max="4857" width="15.5" style="1" customWidth="1"/>
    <col min="4858" max="4858" width="13" style="1" bestFit="1" customWidth="1"/>
    <col min="4859" max="4859" width="10.25" style="1" customWidth="1"/>
    <col min="4860" max="4860" width="9" style="1"/>
    <col min="4861" max="4861" width="11" style="1" customWidth="1"/>
    <col min="4862" max="4865" width="9" style="1"/>
    <col min="4866" max="4866" width="11.875" style="1" customWidth="1"/>
    <col min="4867" max="5108" width="9" style="1"/>
    <col min="5109" max="5109" width="18.25" style="1" bestFit="1" customWidth="1"/>
    <col min="5110" max="5110" width="13.875" style="1" customWidth="1"/>
    <col min="5111" max="5111" width="15.5" style="1" bestFit="1" customWidth="1"/>
    <col min="5112" max="5113" width="15.5" style="1" customWidth="1"/>
    <col min="5114" max="5114" width="13" style="1" bestFit="1" customWidth="1"/>
    <col min="5115" max="5115" width="10.25" style="1" customWidth="1"/>
    <col min="5116" max="5116" width="9" style="1"/>
    <col min="5117" max="5117" width="11" style="1" customWidth="1"/>
    <col min="5118" max="5121" width="9" style="1"/>
    <col min="5122" max="5122" width="11.875" style="1" customWidth="1"/>
    <col min="5123" max="5364" width="9" style="1"/>
    <col min="5365" max="5365" width="18.25" style="1" bestFit="1" customWidth="1"/>
    <col min="5366" max="5366" width="13.875" style="1" customWidth="1"/>
    <col min="5367" max="5367" width="15.5" style="1" bestFit="1" customWidth="1"/>
    <col min="5368" max="5369" width="15.5" style="1" customWidth="1"/>
    <col min="5370" max="5370" width="13" style="1" bestFit="1" customWidth="1"/>
    <col min="5371" max="5371" width="10.25" style="1" customWidth="1"/>
    <col min="5372" max="5372" width="9" style="1"/>
    <col min="5373" max="5373" width="11" style="1" customWidth="1"/>
    <col min="5374" max="5377" width="9" style="1"/>
    <col min="5378" max="5378" width="11.875" style="1" customWidth="1"/>
    <col min="5379" max="5620" width="9" style="1"/>
    <col min="5621" max="5621" width="18.25" style="1" bestFit="1" customWidth="1"/>
    <col min="5622" max="5622" width="13.875" style="1" customWidth="1"/>
    <col min="5623" max="5623" width="15.5" style="1" bestFit="1" customWidth="1"/>
    <col min="5624" max="5625" width="15.5" style="1" customWidth="1"/>
    <col min="5626" max="5626" width="13" style="1" bestFit="1" customWidth="1"/>
    <col min="5627" max="5627" width="10.25" style="1" customWidth="1"/>
    <col min="5628" max="5628" width="9" style="1"/>
    <col min="5629" max="5629" width="11" style="1" customWidth="1"/>
    <col min="5630" max="5633" width="9" style="1"/>
    <col min="5634" max="5634" width="11.875" style="1" customWidth="1"/>
    <col min="5635" max="5876" width="9" style="1"/>
    <col min="5877" max="5877" width="18.25" style="1" bestFit="1" customWidth="1"/>
    <col min="5878" max="5878" width="13.875" style="1" customWidth="1"/>
    <col min="5879" max="5879" width="15.5" style="1" bestFit="1" customWidth="1"/>
    <col min="5880" max="5881" width="15.5" style="1" customWidth="1"/>
    <col min="5882" max="5882" width="13" style="1" bestFit="1" customWidth="1"/>
    <col min="5883" max="5883" width="10.25" style="1" customWidth="1"/>
    <col min="5884" max="5884" width="9" style="1"/>
    <col min="5885" max="5885" width="11" style="1" customWidth="1"/>
    <col min="5886" max="5889" width="9" style="1"/>
    <col min="5890" max="5890" width="11.875" style="1" customWidth="1"/>
    <col min="5891" max="6132" width="9" style="1"/>
    <col min="6133" max="6133" width="18.25" style="1" bestFit="1" customWidth="1"/>
    <col min="6134" max="6134" width="13.875" style="1" customWidth="1"/>
    <col min="6135" max="6135" width="15.5" style="1" bestFit="1" customWidth="1"/>
    <col min="6136" max="6137" width="15.5" style="1" customWidth="1"/>
    <col min="6138" max="6138" width="13" style="1" bestFit="1" customWidth="1"/>
    <col min="6139" max="6139" width="10.25" style="1" customWidth="1"/>
    <col min="6140" max="6140" width="9" style="1"/>
    <col min="6141" max="6141" width="11" style="1" customWidth="1"/>
    <col min="6142" max="6145" width="9" style="1"/>
    <col min="6146" max="6146" width="11.875" style="1" customWidth="1"/>
    <col min="6147" max="6388" width="9" style="1"/>
    <col min="6389" max="6389" width="18.25" style="1" bestFit="1" customWidth="1"/>
    <col min="6390" max="6390" width="13.875" style="1" customWidth="1"/>
    <col min="6391" max="6391" width="15.5" style="1" bestFit="1" customWidth="1"/>
    <col min="6392" max="6393" width="15.5" style="1" customWidth="1"/>
    <col min="6394" max="6394" width="13" style="1" bestFit="1" customWidth="1"/>
    <col min="6395" max="6395" width="10.25" style="1" customWidth="1"/>
    <col min="6396" max="6396" width="9" style="1"/>
    <col min="6397" max="6397" width="11" style="1" customWidth="1"/>
    <col min="6398" max="6401" width="9" style="1"/>
    <col min="6402" max="6402" width="11.875" style="1" customWidth="1"/>
    <col min="6403" max="6644" width="9" style="1"/>
    <col min="6645" max="6645" width="18.25" style="1" bestFit="1" customWidth="1"/>
    <col min="6646" max="6646" width="13.875" style="1" customWidth="1"/>
    <col min="6647" max="6647" width="15.5" style="1" bestFit="1" customWidth="1"/>
    <col min="6648" max="6649" width="15.5" style="1" customWidth="1"/>
    <col min="6650" max="6650" width="13" style="1" bestFit="1" customWidth="1"/>
    <col min="6651" max="6651" width="10.25" style="1" customWidth="1"/>
    <col min="6652" max="6652" width="9" style="1"/>
    <col min="6653" max="6653" width="11" style="1" customWidth="1"/>
    <col min="6654" max="6657" width="9" style="1"/>
    <col min="6658" max="6658" width="11.875" style="1" customWidth="1"/>
    <col min="6659" max="6900" width="9" style="1"/>
    <col min="6901" max="6901" width="18.25" style="1" bestFit="1" customWidth="1"/>
    <col min="6902" max="6902" width="13.875" style="1" customWidth="1"/>
    <col min="6903" max="6903" width="15.5" style="1" bestFit="1" customWidth="1"/>
    <col min="6904" max="6905" width="15.5" style="1" customWidth="1"/>
    <col min="6906" max="6906" width="13" style="1" bestFit="1" customWidth="1"/>
    <col min="6907" max="6907" width="10.25" style="1" customWidth="1"/>
    <col min="6908" max="6908" width="9" style="1"/>
    <col min="6909" max="6909" width="11" style="1" customWidth="1"/>
    <col min="6910" max="6913" width="9" style="1"/>
    <col min="6914" max="6914" width="11.875" style="1" customWidth="1"/>
    <col min="6915" max="7156" width="9" style="1"/>
    <col min="7157" max="7157" width="18.25" style="1" bestFit="1" customWidth="1"/>
    <col min="7158" max="7158" width="13.875" style="1" customWidth="1"/>
    <col min="7159" max="7159" width="15.5" style="1" bestFit="1" customWidth="1"/>
    <col min="7160" max="7161" width="15.5" style="1" customWidth="1"/>
    <col min="7162" max="7162" width="13" style="1" bestFit="1" customWidth="1"/>
    <col min="7163" max="7163" width="10.25" style="1" customWidth="1"/>
    <col min="7164" max="7164" width="9" style="1"/>
    <col min="7165" max="7165" width="11" style="1" customWidth="1"/>
    <col min="7166" max="7169" width="9" style="1"/>
    <col min="7170" max="7170" width="11.875" style="1" customWidth="1"/>
    <col min="7171" max="7412" width="9" style="1"/>
    <col min="7413" max="7413" width="18.25" style="1" bestFit="1" customWidth="1"/>
    <col min="7414" max="7414" width="13.875" style="1" customWidth="1"/>
    <col min="7415" max="7415" width="15.5" style="1" bestFit="1" customWidth="1"/>
    <col min="7416" max="7417" width="15.5" style="1" customWidth="1"/>
    <col min="7418" max="7418" width="13" style="1" bestFit="1" customWidth="1"/>
    <col min="7419" max="7419" width="10.25" style="1" customWidth="1"/>
    <col min="7420" max="7420" width="9" style="1"/>
    <col min="7421" max="7421" width="11" style="1" customWidth="1"/>
    <col min="7422" max="7425" width="9" style="1"/>
    <col min="7426" max="7426" width="11.875" style="1" customWidth="1"/>
    <col min="7427" max="7668" width="9" style="1"/>
    <col min="7669" max="7669" width="18.25" style="1" bestFit="1" customWidth="1"/>
    <col min="7670" max="7670" width="13.875" style="1" customWidth="1"/>
    <col min="7671" max="7671" width="15.5" style="1" bestFit="1" customWidth="1"/>
    <col min="7672" max="7673" width="15.5" style="1" customWidth="1"/>
    <col min="7674" max="7674" width="13" style="1" bestFit="1" customWidth="1"/>
    <col min="7675" max="7675" width="10.25" style="1" customWidth="1"/>
    <col min="7676" max="7676" width="9" style="1"/>
    <col min="7677" max="7677" width="11" style="1" customWidth="1"/>
    <col min="7678" max="7681" width="9" style="1"/>
    <col min="7682" max="7682" width="11.875" style="1" customWidth="1"/>
    <col min="7683" max="7924" width="9" style="1"/>
    <col min="7925" max="7925" width="18.25" style="1" bestFit="1" customWidth="1"/>
    <col min="7926" max="7926" width="13.875" style="1" customWidth="1"/>
    <col min="7927" max="7927" width="15.5" style="1" bestFit="1" customWidth="1"/>
    <col min="7928" max="7929" width="15.5" style="1" customWidth="1"/>
    <col min="7930" max="7930" width="13" style="1" bestFit="1" customWidth="1"/>
    <col min="7931" max="7931" width="10.25" style="1" customWidth="1"/>
    <col min="7932" max="7932" width="9" style="1"/>
    <col min="7933" max="7933" width="11" style="1" customWidth="1"/>
    <col min="7934" max="7937" width="9" style="1"/>
    <col min="7938" max="7938" width="11.875" style="1" customWidth="1"/>
    <col min="7939" max="8180" width="9" style="1"/>
    <col min="8181" max="8181" width="18.25" style="1" bestFit="1" customWidth="1"/>
    <col min="8182" max="8182" width="13.875" style="1" customWidth="1"/>
    <col min="8183" max="8183" width="15.5" style="1" bestFit="1" customWidth="1"/>
    <col min="8184" max="8185" width="15.5" style="1" customWidth="1"/>
    <col min="8186" max="8186" width="13" style="1" bestFit="1" customWidth="1"/>
    <col min="8187" max="8187" width="10.25" style="1" customWidth="1"/>
    <col min="8188" max="8188" width="9" style="1"/>
    <col min="8189" max="8189" width="11" style="1" customWidth="1"/>
    <col min="8190" max="8193" width="9" style="1"/>
    <col min="8194" max="8194" width="11.875" style="1" customWidth="1"/>
    <col min="8195" max="8436" width="9" style="1"/>
    <col min="8437" max="8437" width="18.25" style="1" bestFit="1" customWidth="1"/>
    <col min="8438" max="8438" width="13.875" style="1" customWidth="1"/>
    <col min="8439" max="8439" width="15.5" style="1" bestFit="1" customWidth="1"/>
    <col min="8440" max="8441" width="15.5" style="1" customWidth="1"/>
    <col min="8442" max="8442" width="13" style="1" bestFit="1" customWidth="1"/>
    <col min="8443" max="8443" width="10.25" style="1" customWidth="1"/>
    <col min="8444" max="8444" width="9" style="1"/>
    <col min="8445" max="8445" width="11" style="1" customWidth="1"/>
    <col min="8446" max="8449" width="9" style="1"/>
    <col min="8450" max="8450" width="11.875" style="1" customWidth="1"/>
    <col min="8451" max="8692" width="9" style="1"/>
    <col min="8693" max="8693" width="18.25" style="1" bestFit="1" customWidth="1"/>
    <col min="8694" max="8694" width="13.875" style="1" customWidth="1"/>
    <col min="8695" max="8695" width="15.5" style="1" bestFit="1" customWidth="1"/>
    <col min="8696" max="8697" width="15.5" style="1" customWidth="1"/>
    <col min="8698" max="8698" width="13" style="1" bestFit="1" customWidth="1"/>
    <col min="8699" max="8699" width="10.25" style="1" customWidth="1"/>
    <col min="8700" max="8700" width="9" style="1"/>
    <col min="8701" max="8701" width="11" style="1" customWidth="1"/>
    <col min="8702" max="8705" width="9" style="1"/>
    <col min="8706" max="8706" width="11.875" style="1" customWidth="1"/>
    <col min="8707" max="8948" width="9" style="1"/>
    <col min="8949" max="8949" width="18.25" style="1" bestFit="1" customWidth="1"/>
    <col min="8950" max="8950" width="13.875" style="1" customWidth="1"/>
    <col min="8951" max="8951" width="15.5" style="1" bestFit="1" customWidth="1"/>
    <col min="8952" max="8953" width="15.5" style="1" customWidth="1"/>
    <col min="8954" max="8954" width="13" style="1" bestFit="1" customWidth="1"/>
    <col min="8955" max="8955" width="10.25" style="1" customWidth="1"/>
    <col min="8956" max="8956" width="9" style="1"/>
    <col min="8957" max="8957" width="11" style="1" customWidth="1"/>
    <col min="8958" max="8961" width="9" style="1"/>
    <col min="8962" max="8962" width="11.875" style="1" customWidth="1"/>
    <col min="8963" max="9204" width="9" style="1"/>
    <col min="9205" max="9205" width="18.25" style="1" bestFit="1" customWidth="1"/>
    <col min="9206" max="9206" width="13.875" style="1" customWidth="1"/>
    <col min="9207" max="9207" width="15.5" style="1" bestFit="1" customWidth="1"/>
    <col min="9208" max="9209" width="15.5" style="1" customWidth="1"/>
    <col min="9210" max="9210" width="13" style="1" bestFit="1" customWidth="1"/>
    <col min="9211" max="9211" width="10.25" style="1" customWidth="1"/>
    <col min="9212" max="9212" width="9" style="1"/>
    <col min="9213" max="9213" width="11" style="1" customWidth="1"/>
    <col min="9214" max="9217" width="9" style="1"/>
    <col min="9218" max="9218" width="11.875" style="1" customWidth="1"/>
    <col min="9219" max="9460" width="9" style="1"/>
    <col min="9461" max="9461" width="18.25" style="1" bestFit="1" customWidth="1"/>
    <col min="9462" max="9462" width="13.875" style="1" customWidth="1"/>
    <col min="9463" max="9463" width="15.5" style="1" bestFit="1" customWidth="1"/>
    <col min="9464" max="9465" width="15.5" style="1" customWidth="1"/>
    <col min="9466" max="9466" width="13" style="1" bestFit="1" customWidth="1"/>
    <col min="9467" max="9467" width="10.25" style="1" customWidth="1"/>
    <col min="9468" max="9468" width="9" style="1"/>
    <col min="9469" max="9469" width="11" style="1" customWidth="1"/>
    <col min="9470" max="9473" width="9" style="1"/>
    <col min="9474" max="9474" width="11.875" style="1" customWidth="1"/>
    <col min="9475" max="9716" width="9" style="1"/>
    <col min="9717" max="9717" width="18.25" style="1" bestFit="1" customWidth="1"/>
    <col min="9718" max="9718" width="13.875" style="1" customWidth="1"/>
    <col min="9719" max="9719" width="15.5" style="1" bestFit="1" customWidth="1"/>
    <col min="9720" max="9721" width="15.5" style="1" customWidth="1"/>
    <col min="9722" max="9722" width="13" style="1" bestFit="1" customWidth="1"/>
    <col min="9723" max="9723" width="10.25" style="1" customWidth="1"/>
    <col min="9724" max="9724" width="9" style="1"/>
    <col min="9725" max="9725" width="11" style="1" customWidth="1"/>
    <col min="9726" max="9729" width="9" style="1"/>
    <col min="9730" max="9730" width="11.875" style="1" customWidth="1"/>
    <col min="9731" max="9972" width="9" style="1"/>
    <col min="9973" max="9973" width="18.25" style="1" bestFit="1" customWidth="1"/>
    <col min="9974" max="9974" width="13.875" style="1" customWidth="1"/>
    <col min="9975" max="9975" width="15.5" style="1" bestFit="1" customWidth="1"/>
    <col min="9976" max="9977" width="15.5" style="1" customWidth="1"/>
    <col min="9978" max="9978" width="13" style="1" bestFit="1" customWidth="1"/>
    <col min="9979" max="9979" width="10.25" style="1" customWidth="1"/>
    <col min="9980" max="9980" width="9" style="1"/>
    <col min="9981" max="9981" width="11" style="1" customWidth="1"/>
    <col min="9982" max="9985" width="9" style="1"/>
    <col min="9986" max="9986" width="11.875" style="1" customWidth="1"/>
    <col min="9987" max="10228" width="9" style="1"/>
    <col min="10229" max="10229" width="18.25" style="1" bestFit="1" customWidth="1"/>
    <col min="10230" max="10230" width="13.875" style="1" customWidth="1"/>
    <col min="10231" max="10231" width="15.5" style="1" bestFit="1" customWidth="1"/>
    <col min="10232" max="10233" width="15.5" style="1" customWidth="1"/>
    <col min="10234" max="10234" width="13" style="1" bestFit="1" customWidth="1"/>
    <col min="10235" max="10235" width="10.25" style="1" customWidth="1"/>
    <col min="10236" max="10236" width="9" style="1"/>
    <col min="10237" max="10237" width="11" style="1" customWidth="1"/>
    <col min="10238" max="10241" width="9" style="1"/>
    <col min="10242" max="10242" width="11.875" style="1" customWidth="1"/>
    <col min="10243" max="10484" width="9" style="1"/>
    <col min="10485" max="10485" width="18.25" style="1" bestFit="1" customWidth="1"/>
    <col min="10486" max="10486" width="13.875" style="1" customWidth="1"/>
    <col min="10487" max="10487" width="15.5" style="1" bestFit="1" customWidth="1"/>
    <col min="10488" max="10489" width="15.5" style="1" customWidth="1"/>
    <col min="10490" max="10490" width="13" style="1" bestFit="1" customWidth="1"/>
    <col min="10491" max="10491" width="10.25" style="1" customWidth="1"/>
    <col min="10492" max="10492" width="9" style="1"/>
    <col min="10493" max="10493" width="11" style="1" customWidth="1"/>
    <col min="10494" max="10497" width="9" style="1"/>
    <col min="10498" max="10498" width="11.875" style="1" customWidth="1"/>
    <col min="10499" max="10740" width="9" style="1"/>
    <col min="10741" max="10741" width="18.25" style="1" bestFit="1" customWidth="1"/>
    <col min="10742" max="10742" width="13.875" style="1" customWidth="1"/>
    <col min="10743" max="10743" width="15.5" style="1" bestFit="1" customWidth="1"/>
    <col min="10744" max="10745" width="15.5" style="1" customWidth="1"/>
    <col min="10746" max="10746" width="13" style="1" bestFit="1" customWidth="1"/>
    <col min="10747" max="10747" width="10.25" style="1" customWidth="1"/>
    <col min="10748" max="10748" width="9" style="1"/>
    <col min="10749" max="10749" width="11" style="1" customWidth="1"/>
    <col min="10750" max="10753" width="9" style="1"/>
    <col min="10754" max="10754" width="11.875" style="1" customWidth="1"/>
    <col min="10755" max="10996" width="9" style="1"/>
    <col min="10997" max="10997" width="18.25" style="1" bestFit="1" customWidth="1"/>
    <col min="10998" max="10998" width="13.875" style="1" customWidth="1"/>
    <col min="10999" max="10999" width="15.5" style="1" bestFit="1" customWidth="1"/>
    <col min="11000" max="11001" width="15.5" style="1" customWidth="1"/>
    <col min="11002" max="11002" width="13" style="1" bestFit="1" customWidth="1"/>
    <col min="11003" max="11003" width="10.25" style="1" customWidth="1"/>
    <col min="11004" max="11004" width="9" style="1"/>
    <col min="11005" max="11005" width="11" style="1" customWidth="1"/>
    <col min="11006" max="11009" width="9" style="1"/>
    <col min="11010" max="11010" width="11.875" style="1" customWidth="1"/>
    <col min="11011" max="11252" width="9" style="1"/>
    <col min="11253" max="11253" width="18.25" style="1" bestFit="1" customWidth="1"/>
    <col min="11254" max="11254" width="13.875" style="1" customWidth="1"/>
    <col min="11255" max="11255" width="15.5" style="1" bestFit="1" customWidth="1"/>
    <col min="11256" max="11257" width="15.5" style="1" customWidth="1"/>
    <col min="11258" max="11258" width="13" style="1" bestFit="1" customWidth="1"/>
    <col min="11259" max="11259" width="10.25" style="1" customWidth="1"/>
    <col min="11260" max="11260" width="9" style="1"/>
    <col min="11261" max="11261" width="11" style="1" customWidth="1"/>
    <col min="11262" max="11265" width="9" style="1"/>
    <col min="11266" max="11266" width="11.875" style="1" customWidth="1"/>
    <col min="11267" max="11508" width="9" style="1"/>
    <col min="11509" max="11509" width="18.25" style="1" bestFit="1" customWidth="1"/>
    <col min="11510" max="11510" width="13.875" style="1" customWidth="1"/>
    <col min="11511" max="11511" width="15.5" style="1" bestFit="1" customWidth="1"/>
    <col min="11512" max="11513" width="15.5" style="1" customWidth="1"/>
    <col min="11514" max="11514" width="13" style="1" bestFit="1" customWidth="1"/>
    <col min="11515" max="11515" width="10.25" style="1" customWidth="1"/>
    <col min="11516" max="11516" width="9" style="1"/>
    <col min="11517" max="11517" width="11" style="1" customWidth="1"/>
    <col min="11518" max="11521" width="9" style="1"/>
    <col min="11522" max="11522" width="11.875" style="1" customWidth="1"/>
    <col min="11523" max="11764" width="9" style="1"/>
    <col min="11765" max="11765" width="18.25" style="1" bestFit="1" customWidth="1"/>
    <col min="11766" max="11766" width="13.875" style="1" customWidth="1"/>
    <col min="11767" max="11767" width="15.5" style="1" bestFit="1" customWidth="1"/>
    <col min="11768" max="11769" width="15.5" style="1" customWidth="1"/>
    <col min="11770" max="11770" width="13" style="1" bestFit="1" customWidth="1"/>
    <col min="11771" max="11771" width="10.25" style="1" customWidth="1"/>
    <col min="11772" max="11772" width="9" style="1"/>
    <col min="11773" max="11773" width="11" style="1" customWidth="1"/>
    <col min="11774" max="11777" width="9" style="1"/>
    <col min="11778" max="11778" width="11.875" style="1" customWidth="1"/>
    <col min="11779" max="12020" width="9" style="1"/>
    <col min="12021" max="12021" width="18.25" style="1" bestFit="1" customWidth="1"/>
    <col min="12022" max="12022" width="13.875" style="1" customWidth="1"/>
    <col min="12023" max="12023" width="15.5" style="1" bestFit="1" customWidth="1"/>
    <col min="12024" max="12025" width="15.5" style="1" customWidth="1"/>
    <col min="12026" max="12026" width="13" style="1" bestFit="1" customWidth="1"/>
    <col min="12027" max="12027" width="10.25" style="1" customWidth="1"/>
    <col min="12028" max="12028" width="9" style="1"/>
    <col min="12029" max="12029" width="11" style="1" customWidth="1"/>
    <col min="12030" max="12033" width="9" style="1"/>
    <col min="12034" max="12034" width="11.875" style="1" customWidth="1"/>
    <col min="12035" max="12276" width="9" style="1"/>
    <col min="12277" max="12277" width="18.25" style="1" bestFit="1" customWidth="1"/>
    <col min="12278" max="12278" width="13.875" style="1" customWidth="1"/>
    <col min="12279" max="12279" width="15.5" style="1" bestFit="1" customWidth="1"/>
    <col min="12280" max="12281" width="15.5" style="1" customWidth="1"/>
    <col min="12282" max="12282" width="13" style="1" bestFit="1" customWidth="1"/>
    <col min="12283" max="12283" width="10.25" style="1" customWidth="1"/>
    <col min="12284" max="12284" width="9" style="1"/>
    <col min="12285" max="12285" width="11" style="1" customWidth="1"/>
    <col min="12286" max="12289" width="9" style="1"/>
    <col min="12290" max="12290" width="11.875" style="1" customWidth="1"/>
    <col min="12291" max="12532" width="9" style="1"/>
    <col min="12533" max="12533" width="18.25" style="1" bestFit="1" customWidth="1"/>
    <col min="12534" max="12534" width="13.875" style="1" customWidth="1"/>
    <col min="12535" max="12535" width="15.5" style="1" bestFit="1" customWidth="1"/>
    <col min="12536" max="12537" width="15.5" style="1" customWidth="1"/>
    <col min="12538" max="12538" width="13" style="1" bestFit="1" customWidth="1"/>
    <col min="12539" max="12539" width="10.25" style="1" customWidth="1"/>
    <col min="12540" max="12540" width="9" style="1"/>
    <col min="12541" max="12541" width="11" style="1" customWidth="1"/>
    <col min="12542" max="12545" width="9" style="1"/>
    <col min="12546" max="12546" width="11.875" style="1" customWidth="1"/>
    <col min="12547" max="12788" width="9" style="1"/>
    <col min="12789" max="12789" width="18.25" style="1" bestFit="1" customWidth="1"/>
    <col min="12790" max="12790" width="13.875" style="1" customWidth="1"/>
    <col min="12791" max="12791" width="15.5" style="1" bestFit="1" customWidth="1"/>
    <col min="12792" max="12793" width="15.5" style="1" customWidth="1"/>
    <col min="12794" max="12794" width="13" style="1" bestFit="1" customWidth="1"/>
    <col min="12795" max="12795" width="10.25" style="1" customWidth="1"/>
    <col min="12796" max="12796" width="9" style="1"/>
    <col min="12797" max="12797" width="11" style="1" customWidth="1"/>
    <col min="12798" max="12801" width="9" style="1"/>
    <col min="12802" max="12802" width="11.875" style="1" customWidth="1"/>
    <col min="12803" max="13044" width="9" style="1"/>
    <col min="13045" max="13045" width="18.25" style="1" bestFit="1" customWidth="1"/>
    <col min="13046" max="13046" width="13.875" style="1" customWidth="1"/>
    <col min="13047" max="13047" width="15.5" style="1" bestFit="1" customWidth="1"/>
    <col min="13048" max="13049" width="15.5" style="1" customWidth="1"/>
    <col min="13050" max="13050" width="13" style="1" bestFit="1" customWidth="1"/>
    <col min="13051" max="13051" width="10.25" style="1" customWidth="1"/>
    <col min="13052" max="13052" width="9" style="1"/>
    <col min="13053" max="13053" width="11" style="1" customWidth="1"/>
    <col min="13054" max="13057" width="9" style="1"/>
    <col min="13058" max="13058" width="11.875" style="1" customWidth="1"/>
    <col min="13059" max="13300" width="9" style="1"/>
    <col min="13301" max="13301" width="18.25" style="1" bestFit="1" customWidth="1"/>
    <col min="13302" max="13302" width="13.875" style="1" customWidth="1"/>
    <col min="13303" max="13303" width="15.5" style="1" bestFit="1" customWidth="1"/>
    <col min="13304" max="13305" width="15.5" style="1" customWidth="1"/>
    <col min="13306" max="13306" width="13" style="1" bestFit="1" customWidth="1"/>
    <col min="13307" max="13307" width="10.25" style="1" customWidth="1"/>
    <col min="13308" max="13308" width="9" style="1"/>
    <col min="13309" max="13309" width="11" style="1" customWidth="1"/>
    <col min="13310" max="13313" width="9" style="1"/>
    <col min="13314" max="13314" width="11.875" style="1" customWidth="1"/>
    <col min="13315" max="13556" width="9" style="1"/>
    <col min="13557" max="13557" width="18.25" style="1" bestFit="1" customWidth="1"/>
    <col min="13558" max="13558" width="13.875" style="1" customWidth="1"/>
    <col min="13559" max="13559" width="15.5" style="1" bestFit="1" customWidth="1"/>
    <col min="13560" max="13561" width="15.5" style="1" customWidth="1"/>
    <col min="13562" max="13562" width="13" style="1" bestFit="1" customWidth="1"/>
    <col min="13563" max="13563" width="10.25" style="1" customWidth="1"/>
    <col min="13564" max="13564" width="9" style="1"/>
    <col min="13565" max="13565" width="11" style="1" customWidth="1"/>
    <col min="13566" max="13569" width="9" style="1"/>
    <col min="13570" max="13570" width="11.875" style="1" customWidth="1"/>
    <col min="13571" max="13812" width="9" style="1"/>
    <col min="13813" max="13813" width="18.25" style="1" bestFit="1" customWidth="1"/>
    <col min="13814" max="13814" width="13.875" style="1" customWidth="1"/>
    <col min="13815" max="13815" width="15.5" style="1" bestFit="1" customWidth="1"/>
    <col min="13816" max="13817" width="15.5" style="1" customWidth="1"/>
    <col min="13818" max="13818" width="13" style="1" bestFit="1" customWidth="1"/>
    <col min="13819" max="13819" width="10.25" style="1" customWidth="1"/>
    <col min="13820" max="13820" width="9" style="1"/>
    <col min="13821" max="13821" width="11" style="1" customWidth="1"/>
    <col min="13822" max="13825" width="9" style="1"/>
    <col min="13826" max="13826" width="11.875" style="1" customWidth="1"/>
    <col min="13827" max="14068" width="9" style="1"/>
    <col min="14069" max="14069" width="18.25" style="1" bestFit="1" customWidth="1"/>
    <col min="14070" max="14070" width="13.875" style="1" customWidth="1"/>
    <col min="14071" max="14071" width="15.5" style="1" bestFit="1" customWidth="1"/>
    <col min="14072" max="14073" width="15.5" style="1" customWidth="1"/>
    <col min="14074" max="14074" width="13" style="1" bestFit="1" customWidth="1"/>
    <col min="14075" max="14075" width="10.25" style="1" customWidth="1"/>
    <col min="14076" max="14076" width="9" style="1"/>
    <col min="14077" max="14077" width="11" style="1" customWidth="1"/>
    <col min="14078" max="14081" width="9" style="1"/>
    <col min="14082" max="14082" width="11.875" style="1" customWidth="1"/>
    <col min="14083" max="14324" width="9" style="1"/>
    <col min="14325" max="14325" width="18.25" style="1" bestFit="1" customWidth="1"/>
    <col min="14326" max="14326" width="13.875" style="1" customWidth="1"/>
    <col min="14327" max="14327" width="15.5" style="1" bestFit="1" customWidth="1"/>
    <col min="14328" max="14329" width="15.5" style="1" customWidth="1"/>
    <col min="14330" max="14330" width="13" style="1" bestFit="1" customWidth="1"/>
    <col min="14331" max="14331" width="10.25" style="1" customWidth="1"/>
    <col min="14332" max="14332" width="9" style="1"/>
    <col min="14333" max="14333" width="11" style="1" customWidth="1"/>
    <col min="14334" max="14337" width="9" style="1"/>
    <col min="14338" max="14338" width="11.875" style="1" customWidth="1"/>
    <col min="14339" max="14580" width="9" style="1"/>
    <col min="14581" max="14581" width="18.25" style="1" bestFit="1" customWidth="1"/>
    <col min="14582" max="14582" width="13.875" style="1" customWidth="1"/>
    <col min="14583" max="14583" width="15.5" style="1" bestFit="1" customWidth="1"/>
    <col min="14584" max="14585" width="15.5" style="1" customWidth="1"/>
    <col min="14586" max="14586" width="13" style="1" bestFit="1" customWidth="1"/>
    <col min="14587" max="14587" width="10.25" style="1" customWidth="1"/>
    <col min="14588" max="14588" width="9" style="1"/>
    <col min="14589" max="14589" width="11" style="1" customWidth="1"/>
    <col min="14590" max="14593" width="9" style="1"/>
    <col min="14594" max="14594" width="11.875" style="1" customWidth="1"/>
    <col min="14595" max="14836" width="9" style="1"/>
    <col min="14837" max="14837" width="18.25" style="1" bestFit="1" customWidth="1"/>
    <col min="14838" max="14838" width="13.875" style="1" customWidth="1"/>
    <col min="14839" max="14839" width="15.5" style="1" bestFit="1" customWidth="1"/>
    <col min="14840" max="14841" width="15.5" style="1" customWidth="1"/>
    <col min="14842" max="14842" width="13" style="1" bestFit="1" customWidth="1"/>
    <col min="14843" max="14843" width="10.25" style="1" customWidth="1"/>
    <col min="14844" max="14844" width="9" style="1"/>
    <col min="14845" max="14845" width="11" style="1" customWidth="1"/>
    <col min="14846" max="14849" width="9" style="1"/>
    <col min="14850" max="14850" width="11.875" style="1" customWidth="1"/>
    <col min="14851" max="15092" width="9" style="1"/>
    <col min="15093" max="15093" width="18.25" style="1" bestFit="1" customWidth="1"/>
    <col min="15094" max="15094" width="13.875" style="1" customWidth="1"/>
    <col min="15095" max="15095" width="15.5" style="1" bestFit="1" customWidth="1"/>
    <col min="15096" max="15097" width="15.5" style="1" customWidth="1"/>
    <col min="15098" max="15098" width="13" style="1" bestFit="1" customWidth="1"/>
    <col min="15099" max="15099" width="10.25" style="1" customWidth="1"/>
    <col min="15100" max="15100" width="9" style="1"/>
    <col min="15101" max="15101" width="11" style="1" customWidth="1"/>
    <col min="15102" max="15105" width="9" style="1"/>
    <col min="15106" max="15106" width="11.875" style="1" customWidth="1"/>
    <col min="15107" max="15348" width="9" style="1"/>
    <col min="15349" max="15349" width="18.25" style="1" bestFit="1" customWidth="1"/>
    <col min="15350" max="15350" width="13.875" style="1" customWidth="1"/>
    <col min="15351" max="15351" width="15.5" style="1" bestFit="1" customWidth="1"/>
    <col min="15352" max="15353" width="15.5" style="1" customWidth="1"/>
    <col min="15354" max="15354" width="13" style="1" bestFit="1" customWidth="1"/>
    <col min="15355" max="15355" width="10.25" style="1" customWidth="1"/>
    <col min="15356" max="15356" width="9" style="1"/>
    <col min="15357" max="15357" width="11" style="1" customWidth="1"/>
    <col min="15358" max="15361" width="9" style="1"/>
    <col min="15362" max="15362" width="11.875" style="1" customWidth="1"/>
    <col min="15363" max="15604" width="9" style="1"/>
    <col min="15605" max="15605" width="18.25" style="1" bestFit="1" customWidth="1"/>
    <col min="15606" max="15606" width="13.875" style="1" customWidth="1"/>
    <col min="15607" max="15607" width="15.5" style="1" bestFit="1" customWidth="1"/>
    <col min="15608" max="15609" width="15.5" style="1" customWidth="1"/>
    <col min="15610" max="15610" width="13" style="1" bestFit="1" customWidth="1"/>
    <col min="15611" max="15611" width="10.25" style="1" customWidth="1"/>
    <col min="15612" max="15612" width="9" style="1"/>
    <col min="15613" max="15613" width="11" style="1" customWidth="1"/>
    <col min="15614" max="15617" width="9" style="1"/>
    <col min="15618" max="15618" width="11.875" style="1" customWidth="1"/>
    <col min="15619" max="15860" width="9" style="1"/>
    <col min="15861" max="15861" width="18.25" style="1" bestFit="1" customWidth="1"/>
    <col min="15862" max="15862" width="13.875" style="1" customWidth="1"/>
    <col min="15863" max="15863" width="15.5" style="1" bestFit="1" customWidth="1"/>
    <col min="15864" max="15865" width="15.5" style="1" customWidth="1"/>
    <col min="15866" max="15866" width="13" style="1" bestFit="1" customWidth="1"/>
    <col min="15867" max="15867" width="10.25" style="1" customWidth="1"/>
    <col min="15868" max="15868" width="9" style="1"/>
    <col min="15869" max="15869" width="11" style="1" customWidth="1"/>
    <col min="15870" max="15873" width="9" style="1"/>
    <col min="15874" max="15874" width="11.875" style="1" customWidth="1"/>
    <col min="15875" max="16116" width="9" style="1"/>
    <col min="16117" max="16117" width="18.25" style="1" bestFit="1" customWidth="1"/>
    <col min="16118" max="16118" width="13.875" style="1" customWidth="1"/>
    <col min="16119" max="16119" width="15.5" style="1" bestFit="1" customWidth="1"/>
    <col min="16120" max="16121" width="15.5" style="1" customWidth="1"/>
    <col min="16122" max="16122" width="13" style="1" bestFit="1" customWidth="1"/>
    <col min="16123" max="16123" width="10.25" style="1" customWidth="1"/>
    <col min="16124" max="16124" width="9" style="1"/>
    <col min="16125" max="16125" width="11" style="1" customWidth="1"/>
    <col min="16126" max="16129" width="9" style="1"/>
    <col min="16130" max="16130" width="11.875" style="1" customWidth="1"/>
    <col min="16131" max="16384" width="9" style="1"/>
  </cols>
  <sheetData>
    <row r="1" spans="1:8" ht="26.25">
      <c r="A1" s="47" t="s">
        <v>140</v>
      </c>
      <c r="B1" s="47"/>
      <c r="C1" s="47"/>
      <c r="D1" s="47"/>
      <c r="E1" s="47"/>
      <c r="F1" s="47"/>
      <c r="G1" s="47"/>
      <c r="H1" s="47"/>
    </row>
    <row r="2" spans="1:8" ht="16.5" customHeight="1">
      <c r="B2" s="18"/>
      <c r="C2" s="18"/>
      <c r="D2" s="18"/>
      <c r="E2" s="18"/>
      <c r="F2" s="18"/>
    </row>
    <row r="3" spans="1:8">
      <c r="A3" s="4" t="s">
        <v>138</v>
      </c>
      <c r="B3" s="4" t="s">
        <v>136</v>
      </c>
      <c r="C3" s="4" t="s">
        <v>139</v>
      </c>
      <c r="D3" s="4" t="s">
        <v>141</v>
      </c>
      <c r="E3" s="4" t="s">
        <v>142</v>
      </c>
      <c r="F3" s="4" t="s">
        <v>144</v>
      </c>
      <c r="G3" s="4" t="s">
        <v>145</v>
      </c>
      <c r="H3" s="4" t="s">
        <v>143</v>
      </c>
    </row>
    <row r="4" spans="1:8">
      <c r="A4" s="4" t="s">
        <v>146</v>
      </c>
      <c r="B4" s="4" t="s">
        <v>123</v>
      </c>
      <c r="C4" s="25">
        <v>45366</v>
      </c>
      <c r="D4" s="11">
        <v>1000</v>
      </c>
      <c r="E4" s="11">
        <v>500</v>
      </c>
      <c r="F4" s="26">
        <v>0.09</v>
      </c>
      <c r="G4" s="26">
        <v>0.1</v>
      </c>
      <c r="H4" s="11">
        <f>D4*E4-D4*E4*F4-D4*E4*G4</f>
        <v>405000</v>
      </c>
    </row>
    <row r="5" spans="1:8">
      <c r="A5" s="4" t="s">
        <v>149</v>
      </c>
      <c r="B5" s="4" t="s">
        <v>124</v>
      </c>
      <c r="C5" s="25">
        <v>45366</v>
      </c>
      <c r="D5" s="11">
        <v>1200</v>
      </c>
      <c r="E5" s="11">
        <v>650</v>
      </c>
      <c r="F5" s="26">
        <v>0.08</v>
      </c>
      <c r="G5" s="26">
        <v>0.1</v>
      </c>
      <c r="H5" s="11">
        <f t="shared" ref="H5:H11" si="0">D5*E5-D5*E5*F5-D5*E5*G5</f>
        <v>639600</v>
      </c>
    </row>
    <row r="6" spans="1:8">
      <c r="A6" s="4" t="s">
        <v>150</v>
      </c>
      <c r="B6" s="4" t="s">
        <v>148</v>
      </c>
      <c r="C6" s="25">
        <v>45366</v>
      </c>
      <c r="D6" s="11">
        <v>990</v>
      </c>
      <c r="E6" s="11">
        <v>580</v>
      </c>
      <c r="F6" s="26">
        <v>7.0000000000000007E-2</v>
      </c>
      <c r="G6" s="26">
        <v>0.1</v>
      </c>
      <c r="H6" s="11">
        <f t="shared" si="0"/>
        <v>476586</v>
      </c>
    </row>
    <row r="7" spans="1:8">
      <c r="A7" s="4" t="s">
        <v>146</v>
      </c>
      <c r="B7" s="4" t="s">
        <v>125</v>
      </c>
      <c r="C7" s="25">
        <v>45380</v>
      </c>
      <c r="D7" s="11">
        <v>1000</v>
      </c>
      <c r="E7" s="11">
        <v>550</v>
      </c>
      <c r="F7" s="26">
        <v>0.09</v>
      </c>
      <c r="G7" s="26">
        <v>0.1</v>
      </c>
      <c r="H7" s="11">
        <f t="shared" si="0"/>
        <v>445500</v>
      </c>
    </row>
    <row r="8" spans="1:8">
      <c r="A8" s="4" t="s">
        <v>149</v>
      </c>
      <c r="B8" s="4" t="s">
        <v>124</v>
      </c>
      <c r="C8" s="25">
        <v>45380</v>
      </c>
      <c r="D8" s="11">
        <v>1200</v>
      </c>
      <c r="E8" s="11">
        <v>600</v>
      </c>
      <c r="F8" s="26">
        <v>0.08</v>
      </c>
      <c r="G8" s="26">
        <v>0.1</v>
      </c>
      <c r="H8" s="11">
        <f t="shared" si="0"/>
        <v>590400</v>
      </c>
    </row>
    <row r="9" spans="1:8">
      <c r="A9" s="4" t="s">
        <v>150</v>
      </c>
      <c r="B9" s="4" t="s">
        <v>126</v>
      </c>
      <c r="C9" s="25">
        <v>45380</v>
      </c>
      <c r="D9" s="11">
        <v>990</v>
      </c>
      <c r="E9" s="11">
        <v>550</v>
      </c>
      <c r="F9" s="26">
        <v>7.0000000000000007E-2</v>
      </c>
      <c r="G9" s="26">
        <v>0.1</v>
      </c>
      <c r="H9" s="11">
        <f t="shared" si="0"/>
        <v>451935</v>
      </c>
    </row>
    <row r="10" spans="1:8">
      <c r="A10" s="4" t="s">
        <v>149</v>
      </c>
      <c r="B10" s="4" t="s">
        <v>137</v>
      </c>
      <c r="C10" s="25">
        <v>45383</v>
      </c>
      <c r="D10" s="11">
        <v>1200</v>
      </c>
      <c r="E10" s="11">
        <v>600</v>
      </c>
      <c r="F10" s="26">
        <v>0.08</v>
      </c>
      <c r="G10" s="26">
        <v>0.1</v>
      </c>
      <c r="H10" s="11">
        <f t="shared" si="0"/>
        <v>590400</v>
      </c>
    </row>
    <row r="11" spans="1:8">
      <c r="A11" s="4" t="s">
        <v>146</v>
      </c>
      <c r="B11" s="4" t="s">
        <v>147</v>
      </c>
      <c r="C11" s="25">
        <v>45383</v>
      </c>
      <c r="D11" s="11">
        <v>1000</v>
      </c>
      <c r="E11" s="11">
        <v>480</v>
      </c>
      <c r="F11" s="26">
        <v>0.09</v>
      </c>
      <c r="G11" s="26">
        <v>0.1</v>
      </c>
      <c r="H11" s="11">
        <f t="shared" si="0"/>
        <v>388800</v>
      </c>
    </row>
    <row r="13" spans="1:8">
      <c r="A13" s="31" t="s">
        <v>210</v>
      </c>
      <c r="B13" t="s">
        <v>211</v>
      </c>
    </row>
    <row r="15" spans="1:8">
      <c r="A15"/>
      <c r="B15" s="31" t="s">
        <v>222</v>
      </c>
      <c r="C15" s="31" t="s">
        <v>223</v>
      </c>
      <c r="D15" s="31" t="s">
        <v>224</v>
      </c>
      <c r="E15"/>
      <c r="F15"/>
      <c r="G15"/>
    </row>
    <row r="16" spans="1:8">
      <c r="A16"/>
      <c r="B16" t="s">
        <v>216</v>
      </c>
      <c r="C16"/>
      <c r="D16" t="s">
        <v>217</v>
      </c>
      <c r="E16"/>
      <c r="F16" t="s">
        <v>219</v>
      </c>
      <c r="G16" t="s">
        <v>220</v>
      </c>
    </row>
    <row r="17" spans="1:7">
      <c r="A17"/>
      <c r="B17"/>
      <c r="C17"/>
      <c r="D17"/>
      <c r="E17"/>
      <c r="F17"/>
      <c r="G17"/>
    </row>
    <row r="18" spans="1:7">
      <c r="A18" s="31" t="s">
        <v>225</v>
      </c>
      <c r="B18" t="s">
        <v>218</v>
      </c>
      <c r="C18" t="s">
        <v>221</v>
      </c>
      <c r="D18" t="s">
        <v>218</v>
      </c>
      <c r="E18" t="s">
        <v>221</v>
      </c>
      <c r="F18"/>
      <c r="G18"/>
    </row>
    <row r="19" spans="1:7">
      <c r="A19" t="s">
        <v>212</v>
      </c>
      <c r="B19">
        <v>1250</v>
      </c>
      <c r="C19">
        <v>1230000</v>
      </c>
      <c r="D19">
        <v>600</v>
      </c>
      <c r="E19">
        <v>590400</v>
      </c>
      <c r="F19">
        <v>1850</v>
      </c>
      <c r="G19">
        <v>1820400</v>
      </c>
    </row>
    <row r="20" spans="1:7">
      <c r="A20" t="s">
        <v>213</v>
      </c>
      <c r="B20">
        <v>1130</v>
      </c>
      <c r="C20">
        <v>928521</v>
      </c>
      <c r="D20"/>
      <c r="E20"/>
      <c r="F20">
        <v>1130</v>
      </c>
      <c r="G20">
        <v>928521</v>
      </c>
    </row>
    <row r="21" spans="1:7">
      <c r="A21" t="s">
        <v>214</v>
      </c>
      <c r="B21">
        <v>1050</v>
      </c>
      <c r="C21">
        <v>850500</v>
      </c>
      <c r="D21">
        <v>480</v>
      </c>
      <c r="E21">
        <v>388800</v>
      </c>
      <c r="F21">
        <v>1530</v>
      </c>
      <c r="G21">
        <v>1239300</v>
      </c>
    </row>
    <row r="22" spans="1:7">
      <c r="A22" t="s">
        <v>215</v>
      </c>
      <c r="B22">
        <v>3430</v>
      </c>
      <c r="C22">
        <v>3009021</v>
      </c>
      <c r="D22">
        <v>1080</v>
      </c>
      <c r="E22">
        <v>979200</v>
      </c>
      <c r="F22">
        <v>4510</v>
      </c>
      <c r="G22">
        <v>3988221</v>
      </c>
    </row>
    <row r="23" spans="1:7">
      <c r="A23"/>
      <c r="B23"/>
      <c r="C23"/>
    </row>
    <row r="24" spans="1:7">
      <c r="A24"/>
      <c r="B24"/>
      <c r="C24"/>
    </row>
    <row r="25" spans="1:7">
      <c r="A25"/>
      <c r="B25"/>
      <c r="C25"/>
    </row>
    <row r="26" spans="1:7">
      <c r="A26"/>
      <c r="B26"/>
      <c r="C26"/>
    </row>
    <row r="27" spans="1:7">
      <c r="A27"/>
      <c r="B27"/>
      <c r="C27"/>
    </row>
    <row r="28" spans="1:7">
      <c r="A28"/>
      <c r="B28"/>
      <c r="C28"/>
    </row>
    <row r="29" spans="1:7">
      <c r="A29"/>
      <c r="B29"/>
      <c r="C29"/>
    </row>
    <row r="30" spans="1:7">
      <c r="A30"/>
      <c r="B30"/>
      <c r="C30"/>
    </row>
    <row r="31" spans="1:7">
      <c r="A31"/>
      <c r="B31"/>
      <c r="C31"/>
    </row>
    <row r="32" spans="1:7">
      <c r="A32"/>
      <c r="B32"/>
      <c r="C32"/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paperSize="9" orientation="landscape" r:id="rId2"/>
  <headerFooter alignWithMargins="0">
    <oddFooter>&amp;C&amp;F&amp;A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5"/>
  <sheetViews>
    <sheetView workbookViewId="0">
      <selection sqref="A1:D1"/>
    </sheetView>
  </sheetViews>
  <sheetFormatPr defaultRowHeight="16.5"/>
  <cols>
    <col min="1" max="1" width="11" style="1" bestFit="1" customWidth="1"/>
    <col min="2" max="3" width="10.125" style="1" bestFit="1" customWidth="1"/>
    <col min="4" max="4" width="13" style="1" bestFit="1" customWidth="1"/>
    <col min="5" max="5" width="3.625" style="1" customWidth="1"/>
    <col min="6" max="6" width="11" style="1" bestFit="1" customWidth="1"/>
    <col min="7" max="7" width="11.125" style="1" bestFit="1" customWidth="1"/>
    <col min="8" max="8" width="9" style="1"/>
    <col min="9" max="9" width="13" style="1" bestFit="1" customWidth="1"/>
    <col min="10" max="257" width="9" style="1"/>
    <col min="258" max="259" width="10.125" style="1" bestFit="1" customWidth="1"/>
    <col min="260" max="260" width="13" style="1" bestFit="1" customWidth="1"/>
    <col min="261" max="262" width="9" style="1"/>
    <col min="263" max="263" width="11.125" style="1" bestFit="1" customWidth="1"/>
    <col min="264" max="264" width="9" style="1"/>
    <col min="265" max="265" width="13" style="1" bestFit="1" customWidth="1"/>
    <col min="266" max="513" width="9" style="1"/>
    <col min="514" max="515" width="10.125" style="1" bestFit="1" customWidth="1"/>
    <col min="516" max="516" width="13" style="1" bestFit="1" customWidth="1"/>
    <col min="517" max="518" width="9" style="1"/>
    <col min="519" max="519" width="11.125" style="1" bestFit="1" customWidth="1"/>
    <col min="520" max="520" width="9" style="1"/>
    <col min="521" max="521" width="13" style="1" bestFit="1" customWidth="1"/>
    <col min="522" max="769" width="9" style="1"/>
    <col min="770" max="771" width="10.125" style="1" bestFit="1" customWidth="1"/>
    <col min="772" max="772" width="13" style="1" bestFit="1" customWidth="1"/>
    <col min="773" max="774" width="9" style="1"/>
    <col min="775" max="775" width="11.125" style="1" bestFit="1" customWidth="1"/>
    <col min="776" max="776" width="9" style="1"/>
    <col min="777" max="777" width="13" style="1" bestFit="1" customWidth="1"/>
    <col min="778" max="1025" width="9" style="1"/>
    <col min="1026" max="1027" width="10.125" style="1" bestFit="1" customWidth="1"/>
    <col min="1028" max="1028" width="13" style="1" bestFit="1" customWidth="1"/>
    <col min="1029" max="1030" width="9" style="1"/>
    <col min="1031" max="1031" width="11.125" style="1" bestFit="1" customWidth="1"/>
    <col min="1032" max="1032" width="9" style="1"/>
    <col min="1033" max="1033" width="13" style="1" bestFit="1" customWidth="1"/>
    <col min="1034" max="1281" width="9" style="1"/>
    <col min="1282" max="1283" width="10.125" style="1" bestFit="1" customWidth="1"/>
    <col min="1284" max="1284" width="13" style="1" bestFit="1" customWidth="1"/>
    <col min="1285" max="1286" width="9" style="1"/>
    <col min="1287" max="1287" width="11.125" style="1" bestFit="1" customWidth="1"/>
    <col min="1288" max="1288" width="9" style="1"/>
    <col min="1289" max="1289" width="13" style="1" bestFit="1" customWidth="1"/>
    <col min="1290" max="1537" width="9" style="1"/>
    <col min="1538" max="1539" width="10.125" style="1" bestFit="1" customWidth="1"/>
    <col min="1540" max="1540" width="13" style="1" bestFit="1" customWidth="1"/>
    <col min="1541" max="1542" width="9" style="1"/>
    <col min="1543" max="1543" width="11.125" style="1" bestFit="1" customWidth="1"/>
    <col min="1544" max="1544" width="9" style="1"/>
    <col min="1545" max="1545" width="13" style="1" bestFit="1" customWidth="1"/>
    <col min="1546" max="1793" width="9" style="1"/>
    <col min="1794" max="1795" width="10.125" style="1" bestFit="1" customWidth="1"/>
    <col min="1796" max="1796" width="13" style="1" bestFit="1" customWidth="1"/>
    <col min="1797" max="1798" width="9" style="1"/>
    <col min="1799" max="1799" width="11.125" style="1" bestFit="1" customWidth="1"/>
    <col min="1800" max="1800" width="9" style="1"/>
    <col min="1801" max="1801" width="13" style="1" bestFit="1" customWidth="1"/>
    <col min="1802" max="2049" width="9" style="1"/>
    <col min="2050" max="2051" width="10.125" style="1" bestFit="1" customWidth="1"/>
    <col min="2052" max="2052" width="13" style="1" bestFit="1" customWidth="1"/>
    <col min="2053" max="2054" width="9" style="1"/>
    <col min="2055" max="2055" width="11.125" style="1" bestFit="1" customWidth="1"/>
    <col min="2056" max="2056" width="9" style="1"/>
    <col min="2057" max="2057" width="13" style="1" bestFit="1" customWidth="1"/>
    <col min="2058" max="2305" width="9" style="1"/>
    <col min="2306" max="2307" width="10.125" style="1" bestFit="1" customWidth="1"/>
    <col min="2308" max="2308" width="13" style="1" bestFit="1" customWidth="1"/>
    <col min="2309" max="2310" width="9" style="1"/>
    <col min="2311" max="2311" width="11.125" style="1" bestFit="1" customWidth="1"/>
    <col min="2312" max="2312" width="9" style="1"/>
    <col min="2313" max="2313" width="13" style="1" bestFit="1" customWidth="1"/>
    <col min="2314" max="2561" width="9" style="1"/>
    <col min="2562" max="2563" width="10.125" style="1" bestFit="1" customWidth="1"/>
    <col min="2564" max="2564" width="13" style="1" bestFit="1" customWidth="1"/>
    <col min="2565" max="2566" width="9" style="1"/>
    <col min="2567" max="2567" width="11.125" style="1" bestFit="1" customWidth="1"/>
    <col min="2568" max="2568" width="9" style="1"/>
    <col min="2569" max="2569" width="13" style="1" bestFit="1" customWidth="1"/>
    <col min="2570" max="2817" width="9" style="1"/>
    <col min="2818" max="2819" width="10.125" style="1" bestFit="1" customWidth="1"/>
    <col min="2820" max="2820" width="13" style="1" bestFit="1" customWidth="1"/>
    <col min="2821" max="2822" width="9" style="1"/>
    <col min="2823" max="2823" width="11.125" style="1" bestFit="1" customWidth="1"/>
    <col min="2824" max="2824" width="9" style="1"/>
    <col min="2825" max="2825" width="13" style="1" bestFit="1" customWidth="1"/>
    <col min="2826" max="3073" width="9" style="1"/>
    <col min="3074" max="3075" width="10.125" style="1" bestFit="1" customWidth="1"/>
    <col min="3076" max="3076" width="13" style="1" bestFit="1" customWidth="1"/>
    <col min="3077" max="3078" width="9" style="1"/>
    <col min="3079" max="3079" width="11.125" style="1" bestFit="1" customWidth="1"/>
    <col min="3080" max="3080" width="9" style="1"/>
    <col min="3081" max="3081" width="13" style="1" bestFit="1" customWidth="1"/>
    <col min="3082" max="3329" width="9" style="1"/>
    <col min="3330" max="3331" width="10.125" style="1" bestFit="1" customWidth="1"/>
    <col min="3332" max="3332" width="13" style="1" bestFit="1" customWidth="1"/>
    <col min="3333" max="3334" width="9" style="1"/>
    <col min="3335" max="3335" width="11.125" style="1" bestFit="1" customWidth="1"/>
    <col min="3336" max="3336" width="9" style="1"/>
    <col min="3337" max="3337" width="13" style="1" bestFit="1" customWidth="1"/>
    <col min="3338" max="3585" width="9" style="1"/>
    <col min="3586" max="3587" width="10.125" style="1" bestFit="1" customWidth="1"/>
    <col min="3588" max="3588" width="13" style="1" bestFit="1" customWidth="1"/>
    <col min="3589" max="3590" width="9" style="1"/>
    <col min="3591" max="3591" width="11.125" style="1" bestFit="1" customWidth="1"/>
    <col min="3592" max="3592" width="9" style="1"/>
    <col min="3593" max="3593" width="13" style="1" bestFit="1" customWidth="1"/>
    <col min="3594" max="3841" width="9" style="1"/>
    <col min="3842" max="3843" width="10.125" style="1" bestFit="1" customWidth="1"/>
    <col min="3844" max="3844" width="13" style="1" bestFit="1" customWidth="1"/>
    <col min="3845" max="3846" width="9" style="1"/>
    <col min="3847" max="3847" width="11.125" style="1" bestFit="1" customWidth="1"/>
    <col min="3848" max="3848" width="9" style="1"/>
    <col min="3849" max="3849" width="13" style="1" bestFit="1" customWidth="1"/>
    <col min="3850" max="4097" width="9" style="1"/>
    <col min="4098" max="4099" width="10.125" style="1" bestFit="1" customWidth="1"/>
    <col min="4100" max="4100" width="13" style="1" bestFit="1" customWidth="1"/>
    <col min="4101" max="4102" width="9" style="1"/>
    <col min="4103" max="4103" width="11.125" style="1" bestFit="1" customWidth="1"/>
    <col min="4104" max="4104" width="9" style="1"/>
    <col min="4105" max="4105" width="13" style="1" bestFit="1" customWidth="1"/>
    <col min="4106" max="4353" width="9" style="1"/>
    <col min="4354" max="4355" width="10.125" style="1" bestFit="1" customWidth="1"/>
    <col min="4356" max="4356" width="13" style="1" bestFit="1" customWidth="1"/>
    <col min="4357" max="4358" width="9" style="1"/>
    <col min="4359" max="4359" width="11.125" style="1" bestFit="1" customWidth="1"/>
    <col min="4360" max="4360" width="9" style="1"/>
    <col min="4361" max="4361" width="13" style="1" bestFit="1" customWidth="1"/>
    <col min="4362" max="4609" width="9" style="1"/>
    <col min="4610" max="4611" width="10.125" style="1" bestFit="1" customWidth="1"/>
    <col min="4612" max="4612" width="13" style="1" bestFit="1" customWidth="1"/>
    <col min="4613" max="4614" width="9" style="1"/>
    <col min="4615" max="4615" width="11.125" style="1" bestFit="1" customWidth="1"/>
    <col min="4616" max="4616" width="9" style="1"/>
    <col min="4617" max="4617" width="13" style="1" bestFit="1" customWidth="1"/>
    <col min="4618" max="4865" width="9" style="1"/>
    <col min="4866" max="4867" width="10.125" style="1" bestFit="1" customWidth="1"/>
    <col min="4868" max="4868" width="13" style="1" bestFit="1" customWidth="1"/>
    <col min="4869" max="4870" width="9" style="1"/>
    <col min="4871" max="4871" width="11.125" style="1" bestFit="1" customWidth="1"/>
    <col min="4872" max="4872" width="9" style="1"/>
    <col min="4873" max="4873" width="13" style="1" bestFit="1" customWidth="1"/>
    <col min="4874" max="5121" width="9" style="1"/>
    <col min="5122" max="5123" width="10.125" style="1" bestFit="1" customWidth="1"/>
    <col min="5124" max="5124" width="13" style="1" bestFit="1" customWidth="1"/>
    <col min="5125" max="5126" width="9" style="1"/>
    <col min="5127" max="5127" width="11.125" style="1" bestFit="1" customWidth="1"/>
    <col min="5128" max="5128" width="9" style="1"/>
    <col min="5129" max="5129" width="13" style="1" bestFit="1" customWidth="1"/>
    <col min="5130" max="5377" width="9" style="1"/>
    <col min="5378" max="5379" width="10.125" style="1" bestFit="1" customWidth="1"/>
    <col min="5380" max="5380" width="13" style="1" bestFit="1" customWidth="1"/>
    <col min="5381" max="5382" width="9" style="1"/>
    <col min="5383" max="5383" width="11.125" style="1" bestFit="1" customWidth="1"/>
    <col min="5384" max="5384" width="9" style="1"/>
    <col min="5385" max="5385" width="13" style="1" bestFit="1" customWidth="1"/>
    <col min="5386" max="5633" width="9" style="1"/>
    <col min="5634" max="5635" width="10.125" style="1" bestFit="1" customWidth="1"/>
    <col min="5636" max="5636" width="13" style="1" bestFit="1" customWidth="1"/>
    <col min="5637" max="5638" width="9" style="1"/>
    <col min="5639" max="5639" width="11.125" style="1" bestFit="1" customWidth="1"/>
    <col min="5640" max="5640" width="9" style="1"/>
    <col min="5641" max="5641" width="13" style="1" bestFit="1" customWidth="1"/>
    <col min="5642" max="5889" width="9" style="1"/>
    <col min="5890" max="5891" width="10.125" style="1" bestFit="1" customWidth="1"/>
    <col min="5892" max="5892" width="13" style="1" bestFit="1" customWidth="1"/>
    <col min="5893" max="5894" width="9" style="1"/>
    <col min="5895" max="5895" width="11.125" style="1" bestFit="1" customWidth="1"/>
    <col min="5896" max="5896" width="9" style="1"/>
    <col min="5897" max="5897" width="13" style="1" bestFit="1" customWidth="1"/>
    <col min="5898" max="6145" width="9" style="1"/>
    <col min="6146" max="6147" width="10.125" style="1" bestFit="1" customWidth="1"/>
    <col min="6148" max="6148" width="13" style="1" bestFit="1" customWidth="1"/>
    <col min="6149" max="6150" width="9" style="1"/>
    <col min="6151" max="6151" width="11.125" style="1" bestFit="1" customWidth="1"/>
    <col min="6152" max="6152" width="9" style="1"/>
    <col min="6153" max="6153" width="13" style="1" bestFit="1" customWidth="1"/>
    <col min="6154" max="6401" width="9" style="1"/>
    <col min="6402" max="6403" width="10.125" style="1" bestFit="1" customWidth="1"/>
    <col min="6404" max="6404" width="13" style="1" bestFit="1" customWidth="1"/>
    <col min="6405" max="6406" width="9" style="1"/>
    <col min="6407" max="6407" width="11.125" style="1" bestFit="1" customWidth="1"/>
    <col min="6408" max="6408" width="9" style="1"/>
    <col min="6409" max="6409" width="13" style="1" bestFit="1" customWidth="1"/>
    <col min="6410" max="6657" width="9" style="1"/>
    <col min="6658" max="6659" width="10.125" style="1" bestFit="1" customWidth="1"/>
    <col min="6660" max="6660" width="13" style="1" bestFit="1" customWidth="1"/>
    <col min="6661" max="6662" width="9" style="1"/>
    <col min="6663" max="6663" width="11.125" style="1" bestFit="1" customWidth="1"/>
    <col min="6664" max="6664" width="9" style="1"/>
    <col min="6665" max="6665" width="13" style="1" bestFit="1" customWidth="1"/>
    <col min="6666" max="6913" width="9" style="1"/>
    <col min="6914" max="6915" width="10.125" style="1" bestFit="1" customWidth="1"/>
    <col min="6916" max="6916" width="13" style="1" bestFit="1" customWidth="1"/>
    <col min="6917" max="6918" width="9" style="1"/>
    <col min="6919" max="6919" width="11.125" style="1" bestFit="1" customWidth="1"/>
    <col min="6920" max="6920" width="9" style="1"/>
    <col min="6921" max="6921" width="13" style="1" bestFit="1" customWidth="1"/>
    <col min="6922" max="7169" width="9" style="1"/>
    <col min="7170" max="7171" width="10.125" style="1" bestFit="1" customWidth="1"/>
    <col min="7172" max="7172" width="13" style="1" bestFit="1" customWidth="1"/>
    <col min="7173" max="7174" width="9" style="1"/>
    <col min="7175" max="7175" width="11.125" style="1" bestFit="1" customWidth="1"/>
    <col min="7176" max="7176" width="9" style="1"/>
    <col min="7177" max="7177" width="13" style="1" bestFit="1" customWidth="1"/>
    <col min="7178" max="7425" width="9" style="1"/>
    <col min="7426" max="7427" width="10.125" style="1" bestFit="1" customWidth="1"/>
    <col min="7428" max="7428" width="13" style="1" bestFit="1" customWidth="1"/>
    <col min="7429" max="7430" width="9" style="1"/>
    <col min="7431" max="7431" width="11.125" style="1" bestFit="1" customWidth="1"/>
    <col min="7432" max="7432" width="9" style="1"/>
    <col min="7433" max="7433" width="13" style="1" bestFit="1" customWidth="1"/>
    <col min="7434" max="7681" width="9" style="1"/>
    <col min="7682" max="7683" width="10.125" style="1" bestFit="1" customWidth="1"/>
    <col min="7684" max="7684" width="13" style="1" bestFit="1" customWidth="1"/>
    <col min="7685" max="7686" width="9" style="1"/>
    <col min="7687" max="7687" width="11.125" style="1" bestFit="1" customWidth="1"/>
    <col min="7688" max="7688" width="9" style="1"/>
    <col min="7689" max="7689" width="13" style="1" bestFit="1" customWidth="1"/>
    <col min="7690" max="7937" width="9" style="1"/>
    <col min="7938" max="7939" width="10.125" style="1" bestFit="1" customWidth="1"/>
    <col min="7940" max="7940" width="13" style="1" bestFit="1" customWidth="1"/>
    <col min="7941" max="7942" width="9" style="1"/>
    <col min="7943" max="7943" width="11.125" style="1" bestFit="1" customWidth="1"/>
    <col min="7944" max="7944" width="9" style="1"/>
    <col min="7945" max="7945" width="13" style="1" bestFit="1" customWidth="1"/>
    <col min="7946" max="8193" width="9" style="1"/>
    <col min="8194" max="8195" width="10.125" style="1" bestFit="1" customWidth="1"/>
    <col min="8196" max="8196" width="13" style="1" bestFit="1" customWidth="1"/>
    <col min="8197" max="8198" width="9" style="1"/>
    <col min="8199" max="8199" width="11.125" style="1" bestFit="1" customWidth="1"/>
    <col min="8200" max="8200" width="9" style="1"/>
    <col min="8201" max="8201" width="13" style="1" bestFit="1" customWidth="1"/>
    <col min="8202" max="8449" width="9" style="1"/>
    <col min="8450" max="8451" width="10.125" style="1" bestFit="1" customWidth="1"/>
    <col min="8452" max="8452" width="13" style="1" bestFit="1" customWidth="1"/>
    <col min="8453" max="8454" width="9" style="1"/>
    <col min="8455" max="8455" width="11.125" style="1" bestFit="1" customWidth="1"/>
    <col min="8456" max="8456" width="9" style="1"/>
    <col min="8457" max="8457" width="13" style="1" bestFit="1" customWidth="1"/>
    <col min="8458" max="8705" width="9" style="1"/>
    <col min="8706" max="8707" width="10.125" style="1" bestFit="1" customWidth="1"/>
    <col min="8708" max="8708" width="13" style="1" bestFit="1" customWidth="1"/>
    <col min="8709" max="8710" width="9" style="1"/>
    <col min="8711" max="8711" width="11.125" style="1" bestFit="1" customWidth="1"/>
    <col min="8712" max="8712" width="9" style="1"/>
    <col min="8713" max="8713" width="13" style="1" bestFit="1" customWidth="1"/>
    <col min="8714" max="8961" width="9" style="1"/>
    <col min="8962" max="8963" width="10.125" style="1" bestFit="1" customWidth="1"/>
    <col min="8964" max="8964" width="13" style="1" bestFit="1" customWidth="1"/>
    <col min="8965" max="8966" width="9" style="1"/>
    <col min="8967" max="8967" width="11.125" style="1" bestFit="1" customWidth="1"/>
    <col min="8968" max="8968" width="9" style="1"/>
    <col min="8969" max="8969" width="13" style="1" bestFit="1" customWidth="1"/>
    <col min="8970" max="9217" width="9" style="1"/>
    <col min="9218" max="9219" width="10.125" style="1" bestFit="1" customWidth="1"/>
    <col min="9220" max="9220" width="13" style="1" bestFit="1" customWidth="1"/>
    <col min="9221" max="9222" width="9" style="1"/>
    <col min="9223" max="9223" width="11.125" style="1" bestFit="1" customWidth="1"/>
    <col min="9224" max="9224" width="9" style="1"/>
    <col min="9225" max="9225" width="13" style="1" bestFit="1" customWidth="1"/>
    <col min="9226" max="9473" width="9" style="1"/>
    <col min="9474" max="9475" width="10.125" style="1" bestFit="1" customWidth="1"/>
    <col min="9476" max="9476" width="13" style="1" bestFit="1" customWidth="1"/>
    <col min="9477" max="9478" width="9" style="1"/>
    <col min="9479" max="9479" width="11.125" style="1" bestFit="1" customWidth="1"/>
    <col min="9480" max="9480" width="9" style="1"/>
    <col min="9481" max="9481" width="13" style="1" bestFit="1" customWidth="1"/>
    <col min="9482" max="9729" width="9" style="1"/>
    <col min="9730" max="9731" width="10.125" style="1" bestFit="1" customWidth="1"/>
    <col min="9732" max="9732" width="13" style="1" bestFit="1" customWidth="1"/>
    <col min="9733" max="9734" width="9" style="1"/>
    <col min="9735" max="9735" width="11.125" style="1" bestFit="1" customWidth="1"/>
    <col min="9736" max="9736" width="9" style="1"/>
    <col min="9737" max="9737" width="13" style="1" bestFit="1" customWidth="1"/>
    <col min="9738" max="9985" width="9" style="1"/>
    <col min="9986" max="9987" width="10.125" style="1" bestFit="1" customWidth="1"/>
    <col min="9988" max="9988" width="13" style="1" bestFit="1" customWidth="1"/>
    <col min="9989" max="9990" width="9" style="1"/>
    <col min="9991" max="9991" width="11.125" style="1" bestFit="1" customWidth="1"/>
    <col min="9992" max="9992" width="9" style="1"/>
    <col min="9993" max="9993" width="13" style="1" bestFit="1" customWidth="1"/>
    <col min="9994" max="10241" width="9" style="1"/>
    <col min="10242" max="10243" width="10.125" style="1" bestFit="1" customWidth="1"/>
    <col min="10244" max="10244" width="13" style="1" bestFit="1" customWidth="1"/>
    <col min="10245" max="10246" width="9" style="1"/>
    <col min="10247" max="10247" width="11.125" style="1" bestFit="1" customWidth="1"/>
    <col min="10248" max="10248" width="9" style="1"/>
    <col min="10249" max="10249" width="13" style="1" bestFit="1" customWidth="1"/>
    <col min="10250" max="10497" width="9" style="1"/>
    <col min="10498" max="10499" width="10.125" style="1" bestFit="1" customWidth="1"/>
    <col min="10500" max="10500" width="13" style="1" bestFit="1" customWidth="1"/>
    <col min="10501" max="10502" width="9" style="1"/>
    <col min="10503" max="10503" width="11.125" style="1" bestFit="1" customWidth="1"/>
    <col min="10504" max="10504" width="9" style="1"/>
    <col min="10505" max="10505" width="13" style="1" bestFit="1" customWidth="1"/>
    <col min="10506" max="10753" width="9" style="1"/>
    <col min="10754" max="10755" width="10.125" style="1" bestFit="1" customWidth="1"/>
    <col min="10756" max="10756" width="13" style="1" bestFit="1" customWidth="1"/>
    <col min="10757" max="10758" width="9" style="1"/>
    <col min="10759" max="10759" width="11.125" style="1" bestFit="1" customWidth="1"/>
    <col min="10760" max="10760" width="9" style="1"/>
    <col min="10761" max="10761" width="13" style="1" bestFit="1" customWidth="1"/>
    <col min="10762" max="11009" width="9" style="1"/>
    <col min="11010" max="11011" width="10.125" style="1" bestFit="1" customWidth="1"/>
    <col min="11012" max="11012" width="13" style="1" bestFit="1" customWidth="1"/>
    <col min="11013" max="11014" width="9" style="1"/>
    <col min="11015" max="11015" width="11.125" style="1" bestFit="1" customWidth="1"/>
    <col min="11016" max="11016" width="9" style="1"/>
    <col min="11017" max="11017" width="13" style="1" bestFit="1" customWidth="1"/>
    <col min="11018" max="11265" width="9" style="1"/>
    <col min="11266" max="11267" width="10.125" style="1" bestFit="1" customWidth="1"/>
    <col min="11268" max="11268" width="13" style="1" bestFit="1" customWidth="1"/>
    <col min="11269" max="11270" width="9" style="1"/>
    <col min="11271" max="11271" width="11.125" style="1" bestFit="1" customWidth="1"/>
    <col min="11272" max="11272" width="9" style="1"/>
    <col min="11273" max="11273" width="13" style="1" bestFit="1" customWidth="1"/>
    <col min="11274" max="11521" width="9" style="1"/>
    <col min="11522" max="11523" width="10.125" style="1" bestFit="1" customWidth="1"/>
    <col min="11524" max="11524" width="13" style="1" bestFit="1" customWidth="1"/>
    <col min="11525" max="11526" width="9" style="1"/>
    <col min="11527" max="11527" width="11.125" style="1" bestFit="1" customWidth="1"/>
    <col min="11528" max="11528" width="9" style="1"/>
    <col min="11529" max="11529" width="13" style="1" bestFit="1" customWidth="1"/>
    <col min="11530" max="11777" width="9" style="1"/>
    <col min="11778" max="11779" width="10.125" style="1" bestFit="1" customWidth="1"/>
    <col min="11780" max="11780" width="13" style="1" bestFit="1" customWidth="1"/>
    <col min="11781" max="11782" width="9" style="1"/>
    <col min="11783" max="11783" width="11.125" style="1" bestFit="1" customWidth="1"/>
    <col min="11784" max="11784" width="9" style="1"/>
    <col min="11785" max="11785" width="13" style="1" bestFit="1" customWidth="1"/>
    <col min="11786" max="12033" width="9" style="1"/>
    <col min="12034" max="12035" width="10.125" style="1" bestFit="1" customWidth="1"/>
    <col min="12036" max="12036" width="13" style="1" bestFit="1" customWidth="1"/>
    <col min="12037" max="12038" width="9" style="1"/>
    <col min="12039" max="12039" width="11.125" style="1" bestFit="1" customWidth="1"/>
    <col min="12040" max="12040" width="9" style="1"/>
    <col min="12041" max="12041" width="13" style="1" bestFit="1" customWidth="1"/>
    <col min="12042" max="12289" width="9" style="1"/>
    <col min="12290" max="12291" width="10.125" style="1" bestFit="1" customWidth="1"/>
    <col min="12292" max="12292" width="13" style="1" bestFit="1" customWidth="1"/>
    <col min="12293" max="12294" width="9" style="1"/>
    <col min="12295" max="12295" width="11.125" style="1" bestFit="1" customWidth="1"/>
    <col min="12296" max="12296" width="9" style="1"/>
    <col min="12297" max="12297" width="13" style="1" bestFit="1" customWidth="1"/>
    <col min="12298" max="12545" width="9" style="1"/>
    <col min="12546" max="12547" width="10.125" style="1" bestFit="1" customWidth="1"/>
    <col min="12548" max="12548" width="13" style="1" bestFit="1" customWidth="1"/>
    <col min="12549" max="12550" width="9" style="1"/>
    <col min="12551" max="12551" width="11.125" style="1" bestFit="1" customWidth="1"/>
    <col min="12552" max="12552" width="9" style="1"/>
    <col min="12553" max="12553" width="13" style="1" bestFit="1" customWidth="1"/>
    <col min="12554" max="12801" width="9" style="1"/>
    <col min="12802" max="12803" width="10.125" style="1" bestFit="1" customWidth="1"/>
    <col min="12804" max="12804" width="13" style="1" bestFit="1" customWidth="1"/>
    <col min="12805" max="12806" width="9" style="1"/>
    <col min="12807" max="12807" width="11.125" style="1" bestFit="1" customWidth="1"/>
    <col min="12808" max="12808" width="9" style="1"/>
    <col min="12809" max="12809" width="13" style="1" bestFit="1" customWidth="1"/>
    <col min="12810" max="13057" width="9" style="1"/>
    <col min="13058" max="13059" width="10.125" style="1" bestFit="1" customWidth="1"/>
    <col min="13060" max="13060" width="13" style="1" bestFit="1" customWidth="1"/>
    <col min="13061" max="13062" width="9" style="1"/>
    <col min="13063" max="13063" width="11.125" style="1" bestFit="1" customWidth="1"/>
    <col min="13064" max="13064" width="9" style="1"/>
    <col min="13065" max="13065" width="13" style="1" bestFit="1" customWidth="1"/>
    <col min="13066" max="13313" width="9" style="1"/>
    <col min="13314" max="13315" width="10.125" style="1" bestFit="1" customWidth="1"/>
    <col min="13316" max="13316" width="13" style="1" bestFit="1" customWidth="1"/>
    <col min="13317" max="13318" width="9" style="1"/>
    <col min="13319" max="13319" width="11.125" style="1" bestFit="1" customWidth="1"/>
    <col min="13320" max="13320" width="9" style="1"/>
    <col min="13321" max="13321" width="13" style="1" bestFit="1" customWidth="1"/>
    <col min="13322" max="13569" width="9" style="1"/>
    <col min="13570" max="13571" width="10.125" style="1" bestFit="1" customWidth="1"/>
    <col min="13572" max="13572" width="13" style="1" bestFit="1" customWidth="1"/>
    <col min="13573" max="13574" width="9" style="1"/>
    <col min="13575" max="13575" width="11.125" style="1" bestFit="1" customWidth="1"/>
    <col min="13576" max="13576" width="9" style="1"/>
    <col min="13577" max="13577" width="13" style="1" bestFit="1" customWidth="1"/>
    <col min="13578" max="13825" width="9" style="1"/>
    <col min="13826" max="13827" width="10.125" style="1" bestFit="1" customWidth="1"/>
    <col min="13828" max="13828" width="13" style="1" bestFit="1" customWidth="1"/>
    <col min="13829" max="13830" width="9" style="1"/>
    <col min="13831" max="13831" width="11.125" style="1" bestFit="1" customWidth="1"/>
    <col min="13832" max="13832" width="9" style="1"/>
    <col min="13833" max="13833" width="13" style="1" bestFit="1" customWidth="1"/>
    <col min="13834" max="14081" width="9" style="1"/>
    <col min="14082" max="14083" width="10.125" style="1" bestFit="1" customWidth="1"/>
    <col min="14084" max="14084" width="13" style="1" bestFit="1" customWidth="1"/>
    <col min="14085" max="14086" width="9" style="1"/>
    <col min="14087" max="14087" width="11.125" style="1" bestFit="1" customWidth="1"/>
    <col min="14088" max="14088" width="9" style="1"/>
    <col min="14089" max="14089" width="13" style="1" bestFit="1" customWidth="1"/>
    <col min="14090" max="14337" width="9" style="1"/>
    <col min="14338" max="14339" width="10.125" style="1" bestFit="1" customWidth="1"/>
    <col min="14340" max="14340" width="13" style="1" bestFit="1" customWidth="1"/>
    <col min="14341" max="14342" width="9" style="1"/>
    <col min="14343" max="14343" width="11.125" style="1" bestFit="1" customWidth="1"/>
    <col min="14344" max="14344" width="9" style="1"/>
    <col min="14345" max="14345" width="13" style="1" bestFit="1" customWidth="1"/>
    <col min="14346" max="14593" width="9" style="1"/>
    <col min="14594" max="14595" width="10.125" style="1" bestFit="1" customWidth="1"/>
    <col min="14596" max="14596" width="13" style="1" bestFit="1" customWidth="1"/>
    <col min="14597" max="14598" width="9" style="1"/>
    <col min="14599" max="14599" width="11.125" style="1" bestFit="1" customWidth="1"/>
    <col min="14600" max="14600" width="9" style="1"/>
    <col min="14601" max="14601" width="13" style="1" bestFit="1" customWidth="1"/>
    <col min="14602" max="14849" width="9" style="1"/>
    <col min="14850" max="14851" width="10.125" style="1" bestFit="1" customWidth="1"/>
    <col min="14852" max="14852" width="13" style="1" bestFit="1" customWidth="1"/>
    <col min="14853" max="14854" width="9" style="1"/>
    <col min="14855" max="14855" width="11.125" style="1" bestFit="1" customWidth="1"/>
    <col min="14856" max="14856" width="9" style="1"/>
    <col min="14857" max="14857" width="13" style="1" bestFit="1" customWidth="1"/>
    <col min="14858" max="15105" width="9" style="1"/>
    <col min="15106" max="15107" width="10.125" style="1" bestFit="1" customWidth="1"/>
    <col min="15108" max="15108" width="13" style="1" bestFit="1" customWidth="1"/>
    <col min="15109" max="15110" width="9" style="1"/>
    <col min="15111" max="15111" width="11.125" style="1" bestFit="1" customWidth="1"/>
    <col min="15112" max="15112" width="9" style="1"/>
    <col min="15113" max="15113" width="13" style="1" bestFit="1" customWidth="1"/>
    <col min="15114" max="15361" width="9" style="1"/>
    <col min="15362" max="15363" width="10.125" style="1" bestFit="1" customWidth="1"/>
    <col min="15364" max="15364" width="13" style="1" bestFit="1" customWidth="1"/>
    <col min="15365" max="15366" width="9" style="1"/>
    <col min="15367" max="15367" width="11.125" style="1" bestFit="1" customWidth="1"/>
    <col min="15368" max="15368" width="9" style="1"/>
    <col min="15369" max="15369" width="13" style="1" bestFit="1" customWidth="1"/>
    <col min="15370" max="15617" width="9" style="1"/>
    <col min="15618" max="15619" width="10.125" style="1" bestFit="1" customWidth="1"/>
    <col min="15620" max="15620" width="13" style="1" bestFit="1" customWidth="1"/>
    <col min="15621" max="15622" width="9" style="1"/>
    <col min="15623" max="15623" width="11.125" style="1" bestFit="1" customWidth="1"/>
    <col min="15624" max="15624" width="9" style="1"/>
    <col min="15625" max="15625" width="13" style="1" bestFit="1" customWidth="1"/>
    <col min="15626" max="15873" width="9" style="1"/>
    <col min="15874" max="15875" width="10.125" style="1" bestFit="1" customWidth="1"/>
    <col min="15876" max="15876" width="13" style="1" bestFit="1" customWidth="1"/>
    <col min="15877" max="15878" width="9" style="1"/>
    <col min="15879" max="15879" width="11.125" style="1" bestFit="1" customWidth="1"/>
    <col min="15880" max="15880" width="9" style="1"/>
    <col min="15881" max="15881" width="13" style="1" bestFit="1" customWidth="1"/>
    <col min="15882" max="16129" width="9" style="1"/>
    <col min="16130" max="16131" width="10.125" style="1" bestFit="1" customWidth="1"/>
    <col min="16132" max="16132" width="13" style="1" bestFit="1" customWidth="1"/>
    <col min="16133" max="16134" width="9" style="1"/>
    <col min="16135" max="16135" width="11.125" style="1" bestFit="1" customWidth="1"/>
    <col min="16136" max="16136" width="9" style="1"/>
    <col min="16137" max="16137" width="13" style="1" bestFit="1" customWidth="1"/>
    <col min="16138" max="16384" width="9" style="1"/>
  </cols>
  <sheetData>
    <row r="1" spans="1:9">
      <c r="A1" s="54" t="s">
        <v>153</v>
      </c>
      <c r="B1" s="55"/>
      <c r="C1" s="55"/>
      <c r="D1" s="56"/>
      <c r="F1" s="54" t="s">
        <v>154</v>
      </c>
      <c r="G1" s="55"/>
      <c r="H1" s="55"/>
      <c r="I1" s="56"/>
    </row>
    <row r="2" spans="1:9">
      <c r="A2" s="4" t="s">
        <v>58</v>
      </c>
      <c r="B2" s="4" t="s">
        <v>129</v>
      </c>
      <c r="C2" s="4" t="s">
        <v>142</v>
      </c>
      <c r="D2" s="4" t="s">
        <v>151</v>
      </c>
      <c r="F2" s="4" t="s">
        <v>58</v>
      </c>
      <c r="G2" s="4" t="s">
        <v>129</v>
      </c>
      <c r="H2" s="4" t="s">
        <v>142</v>
      </c>
      <c r="I2" s="4" t="s">
        <v>151</v>
      </c>
    </row>
    <row r="3" spans="1:9">
      <c r="A3" s="4" t="s">
        <v>152</v>
      </c>
      <c r="B3" s="9">
        <v>100000</v>
      </c>
      <c r="C3" s="9">
        <v>48</v>
      </c>
      <c r="D3" s="9">
        <f>C3*B3</f>
        <v>4800000</v>
      </c>
      <c r="F3" s="4" t="s">
        <v>152</v>
      </c>
      <c r="G3" s="9">
        <v>100000</v>
      </c>
      <c r="H3" s="9">
        <v>33</v>
      </c>
      <c r="I3" s="9">
        <f>H3*G3</f>
        <v>3300000</v>
      </c>
    </row>
    <row r="4" spans="1:9">
      <c r="A4" s="4" t="s">
        <v>155</v>
      </c>
      <c r="B4" s="9">
        <v>95000</v>
      </c>
      <c r="C4" s="9">
        <v>52</v>
      </c>
      <c r="D4" s="9">
        <f>C4*B4</f>
        <v>4940000</v>
      </c>
      <c r="F4" s="4" t="s">
        <v>155</v>
      </c>
      <c r="G4" s="9">
        <v>95000</v>
      </c>
      <c r="H4" s="9">
        <v>51</v>
      </c>
      <c r="I4" s="9">
        <f>H4*G4</f>
        <v>4845000</v>
      </c>
    </row>
    <row r="5" spans="1:9">
      <c r="A5" s="4" t="s">
        <v>156</v>
      </c>
      <c r="B5" s="9">
        <v>120000</v>
      </c>
      <c r="C5" s="9">
        <v>33</v>
      </c>
      <c r="D5" s="9">
        <f>C5*B5</f>
        <v>3960000</v>
      </c>
      <c r="F5" s="4" t="s">
        <v>156</v>
      </c>
      <c r="G5" s="9">
        <v>120000</v>
      </c>
      <c r="H5" s="9">
        <v>40</v>
      </c>
      <c r="I5" s="9">
        <f>H5*G5</f>
        <v>4800000</v>
      </c>
    </row>
    <row r="6" spans="1:9">
      <c r="A6" s="4" t="s">
        <v>157</v>
      </c>
      <c r="B6" s="9">
        <v>90000</v>
      </c>
      <c r="C6" s="9">
        <v>46</v>
      </c>
      <c r="D6" s="9">
        <f>C6*B6</f>
        <v>4140000</v>
      </c>
      <c r="F6" s="4" t="s">
        <v>157</v>
      </c>
      <c r="G6" s="9">
        <v>90000</v>
      </c>
      <c r="H6" s="9">
        <v>40</v>
      </c>
      <c r="I6" s="9">
        <f>H6*G6</f>
        <v>3600000</v>
      </c>
    </row>
    <row r="7" spans="1:9">
      <c r="A7" s="4" t="s">
        <v>158</v>
      </c>
      <c r="B7" s="9">
        <v>115000</v>
      </c>
      <c r="C7" s="9">
        <v>38</v>
      </c>
      <c r="D7" s="9">
        <f>C7*B7</f>
        <v>4370000</v>
      </c>
      <c r="F7" s="4" t="s">
        <v>158</v>
      </c>
      <c r="G7" s="9">
        <v>115000</v>
      </c>
      <c r="H7" s="9">
        <v>39</v>
      </c>
      <c r="I7" s="9">
        <f>H7*G7</f>
        <v>4485000</v>
      </c>
    </row>
    <row r="8" spans="1:9" ht="17.25" thickBot="1"/>
    <row r="9" spans="1:9" ht="17.25" thickBot="1">
      <c r="A9" s="54" t="s">
        <v>159</v>
      </c>
      <c r="B9" s="55"/>
      <c r="C9" s="55"/>
      <c r="D9" s="56"/>
      <c r="F9" s="57" t="s">
        <v>173</v>
      </c>
      <c r="G9" s="58"/>
      <c r="H9" s="58"/>
      <c r="I9" s="59"/>
    </row>
    <row r="10" spans="1:9">
      <c r="A10" s="4" t="s">
        <v>58</v>
      </c>
      <c r="B10" s="4" t="s">
        <v>129</v>
      </c>
      <c r="C10" s="4" t="s">
        <v>142</v>
      </c>
      <c r="D10" s="4" t="s">
        <v>151</v>
      </c>
      <c r="F10" s="27" t="s">
        <v>58</v>
      </c>
      <c r="G10" s="28" t="s">
        <v>129</v>
      </c>
      <c r="H10" s="28" t="s">
        <v>142</v>
      </c>
      <c r="I10" s="29" t="s">
        <v>151</v>
      </c>
    </row>
    <row r="11" spans="1:9">
      <c r="A11" s="4" t="s">
        <v>152</v>
      </c>
      <c r="B11" s="9">
        <v>100000</v>
      </c>
      <c r="C11" s="9">
        <v>42</v>
      </c>
      <c r="D11" s="9">
        <f>C11*B11</f>
        <v>4200000</v>
      </c>
      <c r="F11" s="19" t="s">
        <v>152</v>
      </c>
      <c r="G11" s="30">
        <v>300000</v>
      </c>
      <c r="H11" s="30">
        <v>123</v>
      </c>
      <c r="I11" s="32">
        <v>12300000</v>
      </c>
    </row>
    <row r="12" spans="1:9">
      <c r="A12" s="4" t="s">
        <v>155</v>
      </c>
      <c r="B12" s="9">
        <v>95000</v>
      </c>
      <c r="C12" s="9">
        <v>60</v>
      </c>
      <c r="D12" s="9">
        <f>C12*B12</f>
        <v>5700000</v>
      </c>
      <c r="F12" s="19" t="s">
        <v>155</v>
      </c>
      <c r="G12" s="30">
        <v>285000</v>
      </c>
      <c r="H12" s="30">
        <v>163</v>
      </c>
      <c r="I12" s="32">
        <v>15485000</v>
      </c>
    </row>
    <row r="13" spans="1:9">
      <c r="A13" s="4" t="s">
        <v>156</v>
      </c>
      <c r="B13" s="9">
        <v>120000</v>
      </c>
      <c r="C13" s="9">
        <v>27</v>
      </c>
      <c r="D13" s="9">
        <f>C13*B13</f>
        <v>3240000</v>
      </c>
      <c r="F13" s="19" t="s">
        <v>156</v>
      </c>
      <c r="G13" s="30">
        <v>360000</v>
      </c>
      <c r="H13" s="30">
        <v>100</v>
      </c>
      <c r="I13" s="32">
        <v>12000000</v>
      </c>
    </row>
    <row r="14" spans="1:9">
      <c r="A14" s="4" t="s">
        <v>157</v>
      </c>
      <c r="B14" s="9">
        <v>90000</v>
      </c>
      <c r="C14" s="9">
        <v>50</v>
      </c>
      <c r="D14" s="9">
        <f>C14*B14</f>
        <v>4500000</v>
      </c>
      <c r="F14" s="19" t="s">
        <v>157</v>
      </c>
      <c r="G14" s="30">
        <v>270000</v>
      </c>
      <c r="H14" s="30">
        <v>136</v>
      </c>
      <c r="I14" s="32">
        <v>12240000</v>
      </c>
    </row>
    <row r="15" spans="1:9" ht="17.25" thickBot="1">
      <c r="A15" s="4" t="s">
        <v>158</v>
      </c>
      <c r="B15" s="9">
        <v>115000</v>
      </c>
      <c r="C15" s="9">
        <v>28</v>
      </c>
      <c r="D15" s="9">
        <f>C15*B15</f>
        <v>3220000</v>
      </c>
      <c r="F15" s="20" t="s">
        <v>158</v>
      </c>
      <c r="G15" s="33">
        <v>345000</v>
      </c>
      <c r="H15" s="33">
        <v>105</v>
      </c>
      <c r="I15" s="34">
        <v>12075000</v>
      </c>
    </row>
  </sheetData>
  <dataConsolidate topLabels="1">
    <dataRefs count="3">
      <dataRef ref="A2:D7" sheet="분석작업-2"/>
      <dataRef ref="F2:I7" sheet="분석작업-2"/>
      <dataRef ref="A10:D15" sheet="분석작업-2"/>
    </dataRefs>
  </dataConsolidate>
  <mergeCells count="4">
    <mergeCell ref="A1:D1"/>
    <mergeCell ref="F1:I1"/>
    <mergeCell ref="A9:D9"/>
    <mergeCell ref="F9:I9"/>
  </mergeCells>
  <phoneticPr fontId="1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0"/>
  <sheetViews>
    <sheetView workbookViewId="0">
      <selection sqref="A1:F1"/>
    </sheetView>
  </sheetViews>
  <sheetFormatPr defaultRowHeight="16.5"/>
  <cols>
    <col min="1" max="6" width="12.625" customWidth="1"/>
  </cols>
  <sheetData>
    <row r="1" spans="1:6" ht="26.25">
      <c r="A1" s="60" t="s">
        <v>226</v>
      </c>
      <c r="B1" s="60"/>
      <c r="C1" s="60"/>
      <c r="D1" s="60"/>
      <c r="E1" s="60"/>
      <c r="F1" s="60"/>
    </row>
    <row r="2" spans="1:6">
      <c r="F2" s="40">
        <v>45412</v>
      </c>
    </row>
    <row r="3" spans="1:6">
      <c r="A3" s="36" t="s">
        <v>227</v>
      </c>
      <c r="B3" s="36" t="s">
        <v>228</v>
      </c>
      <c r="C3" s="36" t="s">
        <v>229</v>
      </c>
      <c r="D3" s="36" t="s">
        <v>230</v>
      </c>
      <c r="E3" s="36" t="s">
        <v>231</v>
      </c>
      <c r="F3" s="36" t="s">
        <v>232</v>
      </c>
    </row>
    <row r="4" spans="1:6">
      <c r="A4" s="36" t="s">
        <v>233</v>
      </c>
      <c r="B4" s="37">
        <v>1620</v>
      </c>
      <c r="C4" s="37">
        <v>1540</v>
      </c>
      <c r="D4" s="38">
        <v>14900</v>
      </c>
      <c r="E4" s="38">
        <v>22946000</v>
      </c>
      <c r="F4" s="39">
        <f>C4/B4</f>
        <v>0.95061728395061729</v>
      </c>
    </row>
    <row r="5" spans="1:6">
      <c r="A5" s="36" t="s">
        <v>234</v>
      </c>
      <c r="B5" s="37">
        <v>2350</v>
      </c>
      <c r="C5" s="37">
        <v>2150</v>
      </c>
      <c r="D5" s="38">
        <v>13900</v>
      </c>
      <c r="E5" s="38">
        <v>29885000</v>
      </c>
      <c r="F5" s="39">
        <f t="shared" ref="F5:F9" si="0">C5/B5</f>
        <v>0.91489361702127658</v>
      </c>
    </row>
    <row r="6" spans="1:6">
      <c r="A6" s="36" t="s">
        <v>235</v>
      </c>
      <c r="B6" s="37">
        <v>1350</v>
      </c>
      <c r="C6" s="37">
        <v>1450</v>
      </c>
      <c r="D6" s="38">
        <v>18900</v>
      </c>
      <c r="E6" s="38">
        <v>27405000</v>
      </c>
      <c r="F6" s="39">
        <f t="shared" si="0"/>
        <v>1.0740740740740742</v>
      </c>
    </row>
    <row r="7" spans="1:6">
      <c r="A7" s="36" t="s">
        <v>236</v>
      </c>
      <c r="B7" s="37">
        <v>1980</v>
      </c>
      <c r="C7" s="37">
        <v>1560</v>
      </c>
      <c r="D7" s="38">
        <v>16900</v>
      </c>
      <c r="E7" s="38">
        <v>26364000</v>
      </c>
      <c r="F7" s="39">
        <f t="shared" si="0"/>
        <v>0.78787878787878785</v>
      </c>
    </row>
    <row r="8" spans="1:6">
      <c r="A8" s="36" t="s">
        <v>237</v>
      </c>
      <c r="B8" s="37">
        <v>1400</v>
      </c>
      <c r="C8" s="37">
        <v>1246</v>
      </c>
      <c r="D8" s="38">
        <v>15900</v>
      </c>
      <c r="E8" s="38">
        <v>19811400</v>
      </c>
      <c r="F8" s="39">
        <f t="shared" si="0"/>
        <v>0.89</v>
      </c>
    </row>
    <row r="9" spans="1:6">
      <c r="A9" s="36" t="s">
        <v>238</v>
      </c>
      <c r="B9" s="37">
        <v>1760</v>
      </c>
      <c r="C9" s="37">
        <v>1536</v>
      </c>
      <c r="D9" s="38">
        <v>14900</v>
      </c>
      <c r="E9" s="38">
        <v>22886400</v>
      </c>
      <c r="F9" s="39">
        <f t="shared" si="0"/>
        <v>0.87272727272727268</v>
      </c>
    </row>
    <row r="10" spans="1:6">
      <c r="A10" s="36" t="s">
        <v>239</v>
      </c>
      <c r="B10" s="37">
        <v>1743.3333333333333</v>
      </c>
      <c r="C10" s="37">
        <v>1580.3333333333333</v>
      </c>
      <c r="D10" s="38">
        <v>15900</v>
      </c>
      <c r="E10" s="38">
        <v>24882966.666666668</v>
      </c>
      <c r="F10" s="35"/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9"/>
  <sheetViews>
    <sheetView workbookViewId="0">
      <selection sqref="A1:E1"/>
    </sheetView>
  </sheetViews>
  <sheetFormatPr defaultRowHeight="16.5"/>
  <cols>
    <col min="1" max="5" width="12.625" style="1" customWidth="1"/>
    <col min="6" max="255" width="9" style="1"/>
    <col min="256" max="256" width="10.25" style="1" customWidth="1"/>
    <col min="257" max="257" width="12.375" style="1" customWidth="1"/>
    <col min="258" max="258" width="13" style="1" bestFit="1" customWidth="1"/>
    <col min="259" max="259" width="13.125" style="1" bestFit="1" customWidth="1"/>
    <col min="260" max="260" width="17.375" style="1" bestFit="1" customWidth="1"/>
    <col min="261" max="261" width="12.875" style="1" bestFit="1" customWidth="1"/>
    <col min="262" max="511" width="9" style="1"/>
    <col min="512" max="512" width="10.25" style="1" customWidth="1"/>
    <col min="513" max="513" width="12.375" style="1" customWidth="1"/>
    <col min="514" max="514" width="13" style="1" bestFit="1" customWidth="1"/>
    <col min="515" max="515" width="13.125" style="1" bestFit="1" customWidth="1"/>
    <col min="516" max="516" width="17.375" style="1" bestFit="1" customWidth="1"/>
    <col min="517" max="517" width="12.875" style="1" bestFit="1" customWidth="1"/>
    <col min="518" max="767" width="9" style="1"/>
    <col min="768" max="768" width="10.25" style="1" customWidth="1"/>
    <col min="769" max="769" width="12.375" style="1" customWidth="1"/>
    <col min="770" max="770" width="13" style="1" bestFit="1" customWidth="1"/>
    <col min="771" max="771" width="13.125" style="1" bestFit="1" customWidth="1"/>
    <col min="772" max="772" width="17.375" style="1" bestFit="1" customWidth="1"/>
    <col min="773" max="773" width="12.875" style="1" bestFit="1" customWidth="1"/>
    <col min="774" max="1023" width="9" style="1"/>
    <col min="1024" max="1024" width="10.25" style="1" customWidth="1"/>
    <col min="1025" max="1025" width="12.375" style="1" customWidth="1"/>
    <col min="1026" max="1026" width="13" style="1" bestFit="1" customWidth="1"/>
    <col min="1027" max="1027" width="13.125" style="1" bestFit="1" customWidth="1"/>
    <col min="1028" max="1028" width="17.375" style="1" bestFit="1" customWidth="1"/>
    <col min="1029" max="1029" width="12.875" style="1" bestFit="1" customWidth="1"/>
    <col min="1030" max="1279" width="9" style="1"/>
    <col min="1280" max="1280" width="10.25" style="1" customWidth="1"/>
    <col min="1281" max="1281" width="12.375" style="1" customWidth="1"/>
    <col min="1282" max="1282" width="13" style="1" bestFit="1" customWidth="1"/>
    <col min="1283" max="1283" width="13.125" style="1" bestFit="1" customWidth="1"/>
    <col min="1284" max="1284" width="17.375" style="1" bestFit="1" customWidth="1"/>
    <col min="1285" max="1285" width="12.875" style="1" bestFit="1" customWidth="1"/>
    <col min="1286" max="1535" width="9" style="1"/>
    <col min="1536" max="1536" width="10.25" style="1" customWidth="1"/>
    <col min="1537" max="1537" width="12.375" style="1" customWidth="1"/>
    <col min="1538" max="1538" width="13" style="1" bestFit="1" customWidth="1"/>
    <col min="1539" max="1539" width="13.125" style="1" bestFit="1" customWidth="1"/>
    <col min="1540" max="1540" width="17.375" style="1" bestFit="1" customWidth="1"/>
    <col min="1541" max="1541" width="12.875" style="1" bestFit="1" customWidth="1"/>
    <col min="1542" max="1791" width="9" style="1"/>
    <col min="1792" max="1792" width="10.25" style="1" customWidth="1"/>
    <col min="1793" max="1793" width="12.375" style="1" customWidth="1"/>
    <col min="1794" max="1794" width="13" style="1" bestFit="1" customWidth="1"/>
    <col min="1795" max="1795" width="13.125" style="1" bestFit="1" customWidth="1"/>
    <col min="1796" max="1796" width="17.375" style="1" bestFit="1" customWidth="1"/>
    <col min="1797" max="1797" width="12.875" style="1" bestFit="1" customWidth="1"/>
    <col min="1798" max="2047" width="9" style="1"/>
    <col min="2048" max="2048" width="10.25" style="1" customWidth="1"/>
    <col min="2049" max="2049" width="12.375" style="1" customWidth="1"/>
    <col min="2050" max="2050" width="13" style="1" bestFit="1" customWidth="1"/>
    <col min="2051" max="2051" width="13.125" style="1" bestFit="1" customWidth="1"/>
    <col min="2052" max="2052" width="17.375" style="1" bestFit="1" customWidth="1"/>
    <col min="2053" max="2053" width="12.875" style="1" bestFit="1" customWidth="1"/>
    <col min="2054" max="2303" width="9" style="1"/>
    <col min="2304" max="2304" width="10.25" style="1" customWidth="1"/>
    <col min="2305" max="2305" width="12.375" style="1" customWidth="1"/>
    <col min="2306" max="2306" width="13" style="1" bestFit="1" customWidth="1"/>
    <col min="2307" max="2307" width="13.125" style="1" bestFit="1" customWidth="1"/>
    <col min="2308" max="2308" width="17.375" style="1" bestFit="1" customWidth="1"/>
    <col min="2309" max="2309" width="12.875" style="1" bestFit="1" customWidth="1"/>
    <col min="2310" max="2559" width="9" style="1"/>
    <col min="2560" max="2560" width="10.25" style="1" customWidth="1"/>
    <col min="2561" max="2561" width="12.375" style="1" customWidth="1"/>
    <col min="2562" max="2562" width="13" style="1" bestFit="1" customWidth="1"/>
    <col min="2563" max="2563" width="13.125" style="1" bestFit="1" customWidth="1"/>
    <col min="2564" max="2564" width="17.375" style="1" bestFit="1" customWidth="1"/>
    <col min="2565" max="2565" width="12.875" style="1" bestFit="1" customWidth="1"/>
    <col min="2566" max="2815" width="9" style="1"/>
    <col min="2816" max="2816" width="10.25" style="1" customWidth="1"/>
    <col min="2817" max="2817" width="12.375" style="1" customWidth="1"/>
    <col min="2818" max="2818" width="13" style="1" bestFit="1" customWidth="1"/>
    <col min="2819" max="2819" width="13.125" style="1" bestFit="1" customWidth="1"/>
    <col min="2820" max="2820" width="17.375" style="1" bestFit="1" customWidth="1"/>
    <col min="2821" max="2821" width="12.875" style="1" bestFit="1" customWidth="1"/>
    <col min="2822" max="3071" width="9" style="1"/>
    <col min="3072" max="3072" width="10.25" style="1" customWidth="1"/>
    <col min="3073" max="3073" width="12.375" style="1" customWidth="1"/>
    <col min="3074" max="3074" width="13" style="1" bestFit="1" customWidth="1"/>
    <col min="3075" max="3075" width="13.125" style="1" bestFit="1" customWidth="1"/>
    <col min="3076" max="3076" width="17.375" style="1" bestFit="1" customWidth="1"/>
    <col min="3077" max="3077" width="12.875" style="1" bestFit="1" customWidth="1"/>
    <col min="3078" max="3327" width="9" style="1"/>
    <col min="3328" max="3328" width="10.25" style="1" customWidth="1"/>
    <col min="3329" max="3329" width="12.375" style="1" customWidth="1"/>
    <col min="3330" max="3330" width="13" style="1" bestFit="1" customWidth="1"/>
    <col min="3331" max="3331" width="13.125" style="1" bestFit="1" customWidth="1"/>
    <col min="3332" max="3332" width="17.375" style="1" bestFit="1" customWidth="1"/>
    <col min="3333" max="3333" width="12.875" style="1" bestFit="1" customWidth="1"/>
    <col min="3334" max="3583" width="9" style="1"/>
    <col min="3584" max="3584" width="10.25" style="1" customWidth="1"/>
    <col min="3585" max="3585" width="12.375" style="1" customWidth="1"/>
    <col min="3586" max="3586" width="13" style="1" bestFit="1" customWidth="1"/>
    <col min="3587" max="3587" width="13.125" style="1" bestFit="1" customWidth="1"/>
    <col min="3588" max="3588" width="17.375" style="1" bestFit="1" customWidth="1"/>
    <col min="3589" max="3589" width="12.875" style="1" bestFit="1" customWidth="1"/>
    <col min="3590" max="3839" width="9" style="1"/>
    <col min="3840" max="3840" width="10.25" style="1" customWidth="1"/>
    <col min="3841" max="3841" width="12.375" style="1" customWidth="1"/>
    <col min="3842" max="3842" width="13" style="1" bestFit="1" customWidth="1"/>
    <col min="3843" max="3843" width="13.125" style="1" bestFit="1" customWidth="1"/>
    <col min="3844" max="3844" width="17.375" style="1" bestFit="1" customWidth="1"/>
    <col min="3845" max="3845" width="12.875" style="1" bestFit="1" customWidth="1"/>
    <col min="3846" max="4095" width="9" style="1"/>
    <col min="4096" max="4096" width="10.25" style="1" customWidth="1"/>
    <col min="4097" max="4097" width="12.375" style="1" customWidth="1"/>
    <col min="4098" max="4098" width="13" style="1" bestFit="1" customWidth="1"/>
    <col min="4099" max="4099" width="13.125" style="1" bestFit="1" customWidth="1"/>
    <col min="4100" max="4100" width="17.375" style="1" bestFit="1" customWidth="1"/>
    <col min="4101" max="4101" width="12.875" style="1" bestFit="1" customWidth="1"/>
    <col min="4102" max="4351" width="9" style="1"/>
    <col min="4352" max="4352" width="10.25" style="1" customWidth="1"/>
    <col min="4353" max="4353" width="12.375" style="1" customWidth="1"/>
    <col min="4354" max="4354" width="13" style="1" bestFit="1" customWidth="1"/>
    <col min="4355" max="4355" width="13.125" style="1" bestFit="1" customWidth="1"/>
    <col min="4356" max="4356" width="17.375" style="1" bestFit="1" customWidth="1"/>
    <col min="4357" max="4357" width="12.875" style="1" bestFit="1" customWidth="1"/>
    <col min="4358" max="4607" width="9" style="1"/>
    <col min="4608" max="4608" width="10.25" style="1" customWidth="1"/>
    <col min="4609" max="4609" width="12.375" style="1" customWidth="1"/>
    <col min="4610" max="4610" width="13" style="1" bestFit="1" customWidth="1"/>
    <col min="4611" max="4611" width="13.125" style="1" bestFit="1" customWidth="1"/>
    <col min="4612" max="4612" width="17.375" style="1" bestFit="1" customWidth="1"/>
    <col min="4613" max="4613" width="12.875" style="1" bestFit="1" customWidth="1"/>
    <col min="4614" max="4863" width="9" style="1"/>
    <col min="4864" max="4864" width="10.25" style="1" customWidth="1"/>
    <col min="4865" max="4865" width="12.375" style="1" customWidth="1"/>
    <col min="4866" max="4866" width="13" style="1" bestFit="1" customWidth="1"/>
    <col min="4867" max="4867" width="13.125" style="1" bestFit="1" customWidth="1"/>
    <col min="4868" max="4868" width="17.375" style="1" bestFit="1" customWidth="1"/>
    <col min="4869" max="4869" width="12.875" style="1" bestFit="1" customWidth="1"/>
    <col min="4870" max="5119" width="9" style="1"/>
    <col min="5120" max="5120" width="10.25" style="1" customWidth="1"/>
    <col min="5121" max="5121" width="12.375" style="1" customWidth="1"/>
    <col min="5122" max="5122" width="13" style="1" bestFit="1" customWidth="1"/>
    <col min="5123" max="5123" width="13.125" style="1" bestFit="1" customWidth="1"/>
    <col min="5124" max="5124" width="17.375" style="1" bestFit="1" customWidth="1"/>
    <col min="5125" max="5125" width="12.875" style="1" bestFit="1" customWidth="1"/>
    <col min="5126" max="5375" width="9" style="1"/>
    <col min="5376" max="5376" width="10.25" style="1" customWidth="1"/>
    <col min="5377" max="5377" width="12.375" style="1" customWidth="1"/>
    <col min="5378" max="5378" width="13" style="1" bestFit="1" customWidth="1"/>
    <col min="5379" max="5379" width="13.125" style="1" bestFit="1" customWidth="1"/>
    <col min="5380" max="5380" width="17.375" style="1" bestFit="1" customWidth="1"/>
    <col min="5381" max="5381" width="12.875" style="1" bestFit="1" customWidth="1"/>
    <col min="5382" max="5631" width="9" style="1"/>
    <col min="5632" max="5632" width="10.25" style="1" customWidth="1"/>
    <col min="5633" max="5633" width="12.375" style="1" customWidth="1"/>
    <col min="5634" max="5634" width="13" style="1" bestFit="1" customWidth="1"/>
    <col min="5635" max="5635" width="13.125" style="1" bestFit="1" customWidth="1"/>
    <col min="5636" max="5636" width="17.375" style="1" bestFit="1" customWidth="1"/>
    <col min="5637" max="5637" width="12.875" style="1" bestFit="1" customWidth="1"/>
    <col min="5638" max="5887" width="9" style="1"/>
    <col min="5888" max="5888" width="10.25" style="1" customWidth="1"/>
    <col min="5889" max="5889" width="12.375" style="1" customWidth="1"/>
    <col min="5890" max="5890" width="13" style="1" bestFit="1" customWidth="1"/>
    <col min="5891" max="5891" width="13.125" style="1" bestFit="1" customWidth="1"/>
    <col min="5892" max="5892" width="17.375" style="1" bestFit="1" customWidth="1"/>
    <col min="5893" max="5893" width="12.875" style="1" bestFit="1" customWidth="1"/>
    <col min="5894" max="6143" width="9" style="1"/>
    <col min="6144" max="6144" width="10.25" style="1" customWidth="1"/>
    <col min="6145" max="6145" width="12.375" style="1" customWidth="1"/>
    <col min="6146" max="6146" width="13" style="1" bestFit="1" customWidth="1"/>
    <col min="6147" max="6147" width="13.125" style="1" bestFit="1" customWidth="1"/>
    <col min="6148" max="6148" width="17.375" style="1" bestFit="1" customWidth="1"/>
    <col min="6149" max="6149" width="12.875" style="1" bestFit="1" customWidth="1"/>
    <col min="6150" max="6399" width="9" style="1"/>
    <col min="6400" max="6400" width="10.25" style="1" customWidth="1"/>
    <col min="6401" max="6401" width="12.375" style="1" customWidth="1"/>
    <col min="6402" max="6402" width="13" style="1" bestFit="1" customWidth="1"/>
    <col min="6403" max="6403" width="13.125" style="1" bestFit="1" customWidth="1"/>
    <col min="6404" max="6404" width="17.375" style="1" bestFit="1" customWidth="1"/>
    <col min="6405" max="6405" width="12.875" style="1" bestFit="1" customWidth="1"/>
    <col min="6406" max="6655" width="9" style="1"/>
    <col min="6656" max="6656" width="10.25" style="1" customWidth="1"/>
    <col min="6657" max="6657" width="12.375" style="1" customWidth="1"/>
    <col min="6658" max="6658" width="13" style="1" bestFit="1" customWidth="1"/>
    <col min="6659" max="6659" width="13.125" style="1" bestFit="1" customWidth="1"/>
    <col min="6660" max="6660" width="17.375" style="1" bestFit="1" customWidth="1"/>
    <col min="6661" max="6661" width="12.875" style="1" bestFit="1" customWidth="1"/>
    <col min="6662" max="6911" width="9" style="1"/>
    <col min="6912" max="6912" width="10.25" style="1" customWidth="1"/>
    <col min="6913" max="6913" width="12.375" style="1" customWidth="1"/>
    <col min="6914" max="6914" width="13" style="1" bestFit="1" customWidth="1"/>
    <col min="6915" max="6915" width="13.125" style="1" bestFit="1" customWidth="1"/>
    <col min="6916" max="6916" width="17.375" style="1" bestFit="1" customWidth="1"/>
    <col min="6917" max="6917" width="12.875" style="1" bestFit="1" customWidth="1"/>
    <col min="6918" max="7167" width="9" style="1"/>
    <col min="7168" max="7168" width="10.25" style="1" customWidth="1"/>
    <col min="7169" max="7169" width="12.375" style="1" customWidth="1"/>
    <col min="7170" max="7170" width="13" style="1" bestFit="1" customWidth="1"/>
    <col min="7171" max="7171" width="13.125" style="1" bestFit="1" customWidth="1"/>
    <col min="7172" max="7172" width="17.375" style="1" bestFit="1" customWidth="1"/>
    <col min="7173" max="7173" width="12.875" style="1" bestFit="1" customWidth="1"/>
    <col min="7174" max="7423" width="9" style="1"/>
    <col min="7424" max="7424" width="10.25" style="1" customWidth="1"/>
    <col min="7425" max="7425" width="12.375" style="1" customWidth="1"/>
    <col min="7426" max="7426" width="13" style="1" bestFit="1" customWidth="1"/>
    <col min="7427" max="7427" width="13.125" style="1" bestFit="1" customWidth="1"/>
    <col min="7428" max="7428" width="17.375" style="1" bestFit="1" customWidth="1"/>
    <col min="7429" max="7429" width="12.875" style="1" bestFit="1" customWidth="1"/>
    <col min="7430" max="7679" width="9" style="1"/>
    <col min="7680" max="7680" width="10.25" style="1" customWidth="1"/>
    <col min="7681" max="7681" width="12.375" style="1" customWidth="1"/>
    <col min="7682" max="7682" width="13" style="1" bestFit="1" customWidth="1"/>
    <col min="7683" max="7683" width="13.125" style="1" bestFit="1" customWidth="1"/>
    <col min="7684" max="7684" width="17.375" style="1" bestFit="1" customWidth="1"/>
    <col min="7685" max="7685" width="12.875" style="1" bestFit="1" customWidth="1"/>
    <col min="7686" max="7935" width="9" style="1"/>
    <col min="7936" max="7936" width="10.25" style="1" customWidth="1"/>
    <col min="7937" max="7937" width="12.375" style="1" customWidth="1"/>
    <col min="7938" max="7938" width="13" style="1" bestFit="1" customWidth="1"/>
    <col min="7939" max="7939" width="13.125" style="1" bestFit="1" customWidth="1"/>
    <col min="7940" max="7940" width="17.375" style="1" bestFit="1" customWidth="1"/>
    <col min="7941" max="7941" width="12.875" style="1" bestFit="1" customWidth="1"/>
    <col min="7942" max="8191" width="9" style="1"/>
    <col min="8192" max="8192" width="10.25" style="1" customWidth="1"/>
    <col min="8193" max="8193" width="12.375" style="1" customWidth="1"/>
    <col min="8194" max="8194" width="13" style="1" bestFit="1" customWidth="1"/>
    <col min="8195" max="8195" width="13.125" style="1" bestFit="1" customWidth="1"/>
    <col min="8196" max="8196" width="17.375" style="1" bestFit="1" customWidth="1"/>
    <col min="8197" max="8197" width="12.875" style="1" bestFit="1" customWidth="1"/>
    <col min="8198" max="8447" width="9" style="1"/>
    <col min="8448" max="8448" width="10.25" style="1" customWidth="1"/>
    <col min="8449" max="8449" width="12.375" style="1" customWidth="1"/>
    <col min="8450" max="8450" width="13" style="1" bestFit="1" customWidth="1"/>
    <col min="8451" max="8451" width="13.125" style="1" bestFit="1" customWidth="1"/>
    <col min="8452" max="8452" width="17.375" style="1" bestFit="1" customWidth="1"/>
    <col min="8453" max="8453" width="12.875" style="1" bestFit="1" customWidth="1"/>
    <col min="8454" max="8703" width="9" style="1"/>
    <col min="8704" max="8704" width="10.25" style="1" customWidth="1"/>
    <col min="8705" max="8705" width="12.375" style="1" customWidth="1"/>
    <col min="8706" max="8706" width="13" style="1" bestFit="1" customWidth="1"/>
    <col min="8707" max="8707" width="13.125" style="1" bestFit="1" customWidth="1"/>
    <col min="8708" max="8708" width="17.375" style="1" bestFit="1" customWidth="1"/>
    <col min="8709" max="8709" width="12.875" style="1" bestFit="1" customWidth="1"/>
    <col min="8710" max="8959" width="9" style="1"/>
    <col min="8960" max="8960" width="10.25" style="1" customWidth="1"/>
    <col min="8961" max="8961" width="12.375" style="1" customWidth="1"/>
    <col min="8962" max="8962" width="13" style="1" bestFit="1" customWidth="1"/>
    <col min="8963" max="8963" width="13.125" style="1" bestFit="1" customWidth="1"/>
    <col min="8964" max="8964" width="17.375" style="1" bestFit="1" customWidth="1"/>
    <col min="8965" max="8965" width="12.875" style="1" bestFit="1" customWidth="1"/>
    <col min="8966" max="9215" width="9" style="1"/>
    <col min="9216" max="9216" width="10.25" style="1" customWidth="1"/>
    <col min="9217" max="9217" width="12.375" style="1" customWidth="1"/>
    <col min="9218" max="9218" width="13" style="1" bestFit="1" customWidth="1"/>
    <col min="9219" max="9219" width="13.125" style="1" bestFit="1" customWidth="1"/>
    <col min="9220" max="9220" width="17.375" style="1" bestFit="1" customWidth="1"/>
    <col min="9221" max="9221" width="12.875" style="1" bestFit="1" customWidth="1"/>
    <col min="9222" max="9471" width="9" style="1"/>
    <col min="9472" max="9472" width="10.25" style="1" customWidth="1"/>
    <col min="9473" max="9473" width="12.375" style="1" customWidth="1"/>
    <col min="9474" max="9474" width="13" style="1" bestFit="1" customWidth="1"/>
    <col min="9475" max="9475" width="13.125" style="1" bestFit="1" customWidth="1"/>
    <col min="9476" max="9476" width="17.375" style="1" bestFit="1" customWidth="1"/>
    <col min="9477" max="9477" width="12.875" style="1" bestFit="1" customWidth="1"/>
    <col min="9478" max="9727" width="9" style="1"/>
    <col min="9728" max="9728" width="10.25" style="1" customWidth="1"/>
    <col min="9729" max="9729" width="12.375" style="1" customWidth="1"/>
    <col min="9730" max="9730" width="13" style="1" bestFit="1" customWidth="1"/>
    <col min="9731" max="9731" width="13.125" style="1" bestFit="1" customWidth="1"/>
    <col min="9732" max="9732" width="17.375" style="1" bestFit="1" customWidth="1"/>
    <col min="9733" max="9733" width="12.875" style="1" bestFit="1" customWidth="1"/>
    <col min="9734" max="9983" width="9" style="1"/>
    <col min="9984" max="9984" width="10.25" style="1" customWidth="1"/>
    <col min="9985" max="9985" width="12.375" style="1" customWidth="1"/>
    <col min="9986" max="9986" width="13" style="1" bestFit="1" customWidth="1"/>
    <col min="9987" max="9987" width="13.125" style="1" bestFit="1" customWidth="1"/>
    <col min="9988" max="9988" width="17.375" style="1" bestFit="1" customWidth="1"/>
    <col min="9989" max="9989" width="12.875" style="1" bestFit="1" customWidth="1"/>
    <col min="9990" max="10239" width="9" style="1"/>
    <col min="10240" max="10240" width="10.25" style="1" customWidth="1"/>
    <col min="10241" max="10241" width="12.375" style="1" customWidth="1"/>
    <col min="10242" max="10242" width="13" style="1" bestFit="1" customWidth="1"/>
    <col min="10243" max="10243" width="13.125" style="1" bestFit="1" customWidth="1"/>
    <col min="10244" max="10244" width="17.375" style="1" bestFit="1" customWidth="1"/>
    <col min="10245" max="10245" width="12.875" style="1" bestFit="1" customWidth="1"/>
    <col min="10246" max="10495" width="9" style="1"/>
    <col min="10496" max="10496" width="10.25" style="1" customWidth="1"/>
    <col min="10497" max="10497" width="12.375" style="1" customWidth="1"/>
    <col min="10498" max="10498" width="13" style="1" bestFit="1" customWidth="1"/>
    <col min="10499" max="10499" width="13.125" style="1" bestFit="1" customWidth="1"/>
    <col min="10500" max="10500" width="17.375" style="1" bestFit="1" customWidth="1"/>
    <col min="10501" max="10501" width="12.875" style="1" bestFit="1" customWidth="1"/>
    <col min="10502" max="10751" width="9" style="1"/>
    <col min="10752" max="10752" width="10.25" style="1" customWidth="1"/>
    <col min="10753" max="10753" width="12.375" style="1" customWidth="1"/>
    <col min="10754" max="10754" width="13" style="1" bestFit="1" customWidth="1"/>
    <col min="10755" max="10755" width="13.125" style="1" bestFit="1" customWidth="1"/>
    <col min="10756" max="10756" width="17.375" style="1" bestFit="1" customWidth="1"/>
    <col min="10757" max="10757" width="12.875" style="1" bestFit="1" customWidth="1"/>
    <col min="10758" max="11007" width="9" style="1"/>
    <col min="11008" max="11008" width="10.25" style="1" customWidth="1"/>
    <col min="11009" max="11009" width="12.375" style="1" customWidth="1"/>
    <col min="11010" max="11010" width="13" style="1" bestFit="1" customWidth="1"/>
    <col min="11011" max="11011" width="13.125" style="1" bestFit="1" customWidth="1"/>
    <col min="11012" max="11012" width="17.375" style="1" bestFit="1" customWidth="1"/>
    <col min="11013" max="11013" width="12.875" style="1" bestFit="1" customWidth="1"/>
    <col min="11014" max="11263" width="9" style="1"/>
    <col min="11264" max="11264" width="10.25" style="1" customWidth="1"/>
    <col min="11265" max="11265" width="12.375" style="1" customWidth="1"/>
    <col min="11266" max="11266" width="13" style="1" bestFit="1" customWidth="1"/>
    <col min="11267" max="11267" width="13.125" style="1" bestFit="1" customWidth="1"/>
    <col min="11268" max="11268" width="17.375" style="1" bestFit="1" customWidth="1"/>
    <col min="11269" max="11269" width="12.875" style="1" bestFit="1" customWidth="1"/>
    <col min="11270" max="11519" width="9" style="1"/>
    <col min="11520" max="11520" width="10.25" style="1" customWidth="1"/>
    <col min="11521" max="11521" width="12.375" style="1" customWidth="1"/>
    <col min="11522" max="11522" width="13" style="1" bestFit="1" customWidth="1"/>
    <col min="11523" max="11523" width="13.125" style="1" bestFit="1" customWidth="1"/>
    <col min="11524" max="11524" width="17.375" style="1" bestFit="1" customWidth="1"/>
    <col min="11525" max="11525" width="12.875" style="1" bestFit="1" customWidth="1"/>
    <col min="11526" max="11775" width="9" style="1"/>
    <col min="11776" max="11776" width="10.25" style="1" customWidth="1"/>
    <col min="11777" max="11777" width="12.375" style="1" customWidth="1"/>
    <col min="11778" max="11778" width="13" style="1" bestFit="1" customWidth="1"/>
    <col min="11779" max="11779" width="13.125" style="1" bestFit="1" customWidth="1"/>
    <col min="11780" max="11780" width="17.375" style="1" bestFit="1" customWidth="1"/>
    <col min="11781" max="11781" width="12.875" style="1" bestFit="1" customWidth="1"/>
    <col min="11782" max="12031" width="9" style="1"/>
    <col min="12032" max="12032" width="10.25" style="1" customWidth="1"/>
    <col min="12033" max="12033" width="12.375" style="1" customWidth="1"/>
    <col min="12034" max="12034" width="13" style="1" bestFit="1" customWidth="1"/>
    <col min="12035" max="12035" width="13.125" style="1" bestFit="1" customWidth="1"/>
    <col min="12036" max="12036" width="17.375" style="1" bestFit="1" customWidth="1"/>
    <col min="12037" max="12037" width="12.875" style="1" bestFit="1" customWidth="1"/>
    <col min="12038" max="12287" width="9" style="1"/>
    <col min="12288" max="12288" width="10.25" style="1" customWidth="1"/>
    <col min="12289" max="12289" width="12.375" style="1" customWidth="1"/>
    <col min="12290" max="12290" width="13" style="1" bestFit="1" customWidth="1"/>
    <col min="12291" max="12291" width="13.125" style="1" bestFit="1" customWidth="1"/>
    <col min="12292" max="12292" width="17.375" style="1" bestFit="1" customWidth="1"/>
    <col min="12293" max="12293" width="12.875" style="1" bestFit="1" customWidth="1"/>
    <col min="12294" max="12543" width="9" style="1"/>
    <col min="12544" max="12544" width="10.25" style="1" customWidth="1"/>
    <col min="12545" max="12545" width="12.375" style="1" customWidth="1"/>
    <col min="12546" max="12546" width="13" style="1" bestFit="1" customWidth="1"/>
    <col min="12547" max="12547" width="13.125" style="1" bestFit="1" customWidth="1"/>
    <col min="12548" max="12548" width="17.375" style="1" bestFit="1" customWidth="1"/>
    <col min="12549" max="12549" width="12.875" style="1" bestFit="1" customWidth="1"/>
    <col min="12550" max="12799" width="9" style="1"/>
    <col min="12800" max="12800" width="10.25" style="1" customWidth="1"/>
    <col min="12801" max="12801" width="12.375" style="1" customWidth="1"/>
    <col min="12802" max="12802" width="13" style="1" bestFit="1" customWidth="1"/>
    <col min="12803" max="12803" width="13.125" style="1" bestFit="1" customWidth="1"/>
    <col min="12804" max="12804" width="17.375" style="1" bestFit="1" customWidth="1"/>
    <col min="12805" max="12805" width="12.875" style="1" bestFit="1" customWidth="1"/>
    <col min="12806" max="13055" width="9" style="1"/>
    <col min="13056" max="13056" width="10.25" style="1" customWidth="1"/>
    <col min="13057" max="13057" width="12.375" style="1" customWidth="1"/>
    <col min="13058" max="13058" width="13" style="1" bestFit="1" customWidth="1"/>
    <col min="13059" max="13059" width="13.125" style="1" bestFit="1" customWidth="1"/>
    <col min="13060" max="13060" width="17.375" style="1" bestFit="1" customWidth="1"/>
    <col min="13061" max="13061" width="12.875" style="1" bestFit="1" customWidth="1"/>
    <col min="13062" max="13311" width="9" style="1"/>
    <col min="13312" max="13312" width="10.25" style="1" customWidth="1"/>
    <col min="13313" max="13313" width="12.375" style="1" customWidth="1"/>
    <col min="13314" max="13314" width="13" style="1" bestFit="1" customWidth="1"/>
    <col min="13315" max="13315" width="13.125" style="1" bestFit="1" customWidth="1"/>
    <col min="13316" max="13316" width="17.375" style="1" bestFit="1" customWidth="1"/>
    <col min="13317" max="13317" width="12.875" style="1" bestFit="1" customWidth="1"/>
    <col min="13318" max="13567" width="9" style="1"/>
    <col min="13568" max="13568" width="10.25" style="1" customWidth="1"/>
    <col min="13569" max="13569" width="12.375" style="1" customWidth="1"/>
    <col min="13570" max="13570" width="13" style="1" bestFit="1" customWidth="1"/>
    <col min="13571" max="13571" width="13.125" style="1" bestFit="1" customWidth="1"/>
    <col min="13572" max="13572" width="17.375" style="1" bestFit="1" customWidth="1"/>
    <col min="13573" max="13573" width="12.875" style="1" bestFit="1" customWidth="1"/>
    <col min="13574" max="13823" width="9" style="1"/>
    <col min="13824" max="13824" width="10.25" style="1" customWidth="1"/>
    <col min="13825" max="13825" width="12.375" style="1" customWidth="1"/>
    <col min="13826" max="13826" width="13" style="1" bestFit="1" customWidth="1"/>
    <col min="13827" max="13827" width="13.125" style="1" bestFit="1" customWidth="1"/>
    <col min="13828" max="13828" width="17.375" style="1" bestFit="1" customWidth="1"/>
    <col min="13829" max="13829" width="12.875" style="1" bestFit="1" customWidth="1"/>
    <col min="13830" max="14079" width="9" style="1"/>
    <col min="14080" max="14080" width="10.25" style="1" customWidth="1"/>
    <col min="14081" max="14081" width="12.375" style="1" customWidth="1"/>
    <col min="14082" max="14082" width="13" style="1" bestFit="1" customWidth="1"/>
    <col min="14083" max="14083" width="13.125" style="1" bestFit="1" customWidth="1"/>
    <col min="14084" max="14084" width="17.375" style="1" bestFit="1" customWidth="1"/>
    <col min="14085" max="14085" width="12.875" style="1" bestFit="1" customWidth="1"/>
    <col min="14086" max="14335" width="9" style="1"/>
    <col min="14336" max="14336" width="10.25" style="1" customWidth="1"/>
    <col min="14337" max="14337" width="12.375" style="1" customWidth="1"/>
    <col min="14338" max="14338" width="13" style="1" bestFit="1" customWidth="1"/>
    <col min="14339" max="14339" width="13.125" style="1" bestFit="1" customWidth="1"/>
    <col min="14340" max="14340" width="17.375" style="1" bestFit="1" customWidth="1"/>
    <col min="14341" max="14341" width="12.875" style="1" bestFit="1" customWidth="1"/>
    <col min="14342" max="14591" width="9" style="1"/>
    <col min="14592" max="14592" width="10.25" style="1" customWidth="1"/>
    <col min="14593" max="14593" width="12.375" style="1" customWidth="1"/>
    <col min="14594" max="14594" width="13" style="1" bestFit="1" customWidth="1"/>
    <col min="14595" max="14595" width="13.125" style="1" bestFit="1" customWidth="1"/>
    <col min="14596" max="14596" width="17.375" style="1" bestFit="1" customWidth="1"/>
    <col min="14597" max="14597" width="12.875" style="1" bestFit="1" customWidth="1"/>
    <col min="14598" max="14847" width="9" style="1"/>
    <col min="14848" max="14848" width="10.25" style="1" customWidth="1"/>
    <col min="14849" max="14849" width="12.375" style="1" customWidth="1"/>
    <col min="14850" max="14850" width="13" style="1" bestFit="1" customWidth="1"/>
    <col min="14851" max="14851" width="13.125" style="1" bestFit="1" customWidth="1"/>
    <col min="14852" max="14852" width="17.375" style="1" bestFit="1" customWidth="1"/>
    <col min="14853" max="14853" width="12.875" style="1" bestFit="1" customWidth="1"/>
    <col min="14854" max="15103" width="9" style="1"/>
    <col min="15104" max="15104" width="10.25" style="1" customWidth="1"/>
    <col min="15105" max="15105" width="12.375" style="1" customWidth="1"/>
    <col min="15106" max="15106" width="13" style="1" bestFit="1" customWidth="1"/>
    <col min="15107" max="15107" width="13.125" style="1" bestFit="1" customWidth="1"/>
    <col min="15108" max="15108" width="17.375" style="1" bestFit="1" customWidth="1"/>
    <col min="15109" max="15109" width="12.875" style="1" bestFit="1" customWidth="1"/>
    <col min="15110" max="15359" width="9" style="1"/>
    <col min="15360" max="15360" width="10.25" style="1" customWidth="1"/>
    <col min="15361" max="15361" width="12.375" style="1" customWidth="1"/>
    <col min="15362" max="15362" width="13" style="1" bestFit="1" customWidth="1"/>
    <col min="15363" max="15363" width="13.125" style="1" bestFit="1" customWidth="1"/>
    <col min="15364" max="15364" width="17.375" style="1" bestFit="1" customWidth="1"/>
    <col min="15365" max="15365" width="12.875" style="1" bestFit="1" customWidth="1"/>
    <col min="15366" max="15615" width="9" style="1"/>
    <col min="15616" max="15616" width="10.25" style="1" customWidth="1"/>
    <col min="15617" max="15617" width="12.375" style="1" customWidth="1"/>
    <col min="15618" max="15618" width="13" style="1" bestFit="1" customWidth="1"/>
    <col min="15619" max="15619" width="13.125" style="1" bestFit="1" customWidth="1"/>
    <col min="15620" max="15620" width="17.375" style="1" bestFit="1" customWidth="1"/>
    <col min="15621" max="15621" width="12.875" style="1" bestFit="1" customWidth="1"/>
    <col min="15622" max="15871" width="9" style="1"/>
    <col min="15872" max="15872" width="10.25" style="1" customWidth="1"/>
    <col min="15873" max="15873" width="12.375" style="1" customWidth="1"/>
    <col min="15874" max="15874" width="13" style="1" bestFit="1" customWidth="1"/>
    <col min="15875" max="15875" width="13.125" style="1" bestFit="1" customWidth="1"/>
    <col min="15876" max="15876" width="17.375" style="1" bestFit="1" customWidth="1"/>
    <col min="15877" max="15877" width="12.875" style="1" bestFit="1" customWidth="1"/>
    <col min="15878" max="16127" width="9" style="1"/>
    <col min="16128" max="16128" width="10.25" style="1" customWidth="1"/>
    <col min="16129" max="16129" width="12.375" style="1" customWidth="1"/>
    <col min="16130" max="16130" width="13" style="1" bestFit="1" customWidth="1"/>
    <col min="16131" max="16131" width="13.125" style="1" bestFit="1" customWidth="1"/>
    <col min="16132" max="16132" width="17.375" style="1" bestFit="1" customWidth="1"/>
    <col min="16133" max="16133" width="12.875" style="1" bestFit="1" customWidth="1"/>
    <col min="16134" max="16384" width="9" style="1"/>
  </cols>
  <sheetData>
    <row r="1" spans="1:5" ht="26.25">
      <c r="A1" s="61" t="s">
        <v>170</v>
      </c>
      <c r="B1" s="61"/>
      <c r="C1" s="61"/>
      <c r="D1" s="61"/>
      <c r="E1" s="61"/>
    </row>
    <row r="2" spans="1:5">
      <c r="A2" s="4" t="s">
        <v>128</v>
      </c>
      <c r="B2" s="4" t="s">
        <v>161</v>
      </c>
      <c r="C2" s="4" t="s">
        <v>162</v>
      </c>
      <c r="D2" s="4" t="s">
        <v>163</v>
      </c>
      <c r="E2" s="4" t="s">
        <v>127</v>
      </c>
    </row>
    <row r="3" spans="1:5">
      <c r="A3" s="4" t="s">
        <v>164</v>
      </c>
      <c r="B3" s="9">
        <v>631000</v>
      </c>
      <c r="C3" s="9">
        <v>876000</v>
      </c>
      <c r="D3" s="9">
        <v>936000</v>
      </c>
      <c r="E3" s="9">
        <f>SUM(B3:D3)</f>
        <v>2443000</v>
      </c>
    </row>
    <row r="4" spans="1:5">
      <c r="A4" s="4" t="s">
        <v>165</v>
      </c>
      <c r="B4" s="9">
        <v>1576000</v>
      </c>
      <c r="C4" s="9">
        <v>1235000</v>
      </c>
      <c r="D4" s="9">
        <v>1158900</v>
      </c>
      <c r="E4" s="9">
        <f t="shared" ref="E4:E9" si="0">SUM(B4:D4)</f>
        <v>3969900</v>
      </c>
    </row>
    <row r="5" spans="1:5">
      <c r="A5" s="4" t="s">
        <v>166</v>
      </c>
      <c r="B5" s="9">
        <v>998000</v>
      </c>
      <c r="C5" s="9">
        <v>1025400</v>
      </c>
      <c r="D5" s="9">
        <v>776800</v>
      </c>
      <c r="E5" s="9">
        <f t="shared" si="0"/>
        <v>2800200</v>
      </c>
    </row>
    <row r="6" spans="1:5">
      <c r="A6" s="4" t="s">
        <v>167</v>
      </c>
      <c r="B6" s="9">
        <v>1234000</v>
      </c>
      <c r="C6" s="9">
        <v>885000</v>
      </c>
      <c r="D6" s="9">
        <v>1058900</v>
      </c>
      <c r="E6" s="9">
        <f t="shared" si="0"/>
        <v>3177900</v>
      </c>
    </row>
    <row r="7" spans="1:5">
      <c r="A7" s="4" t="s">
        <v>168</v>
      </c>
      <c r="B7" s="9">
        <v>754000</v>
      </c>
      <c r="C7" s="9">
        <v>668000</v>
      </c>
      <c r="D7" s="9">
        <v>867000</v>
      </c>
      <c r="E7" s="9">
        <f t="shared" si="0"/>
        <v>2289000</v>
      </c>
    </row>
    <row r="8" spans="1:5">
      <c r="A8" s="4" t="s">
        <v>169</v>
      </c>
      <c r="B8" s="9">
        <v>1125000</v>
      </c>
      <c r="C8" s="9">
        <v>987000</v>
      </c>
      <c r="D8" s="9">
        <v>848000</v>
      </c>
      <c r="E8" s="9">
        <f t="shared" si="0"/>
        <v>2960000</v>
      </c>
    </row>
    <row r="9" spans="1:5">
      <c r="A9" s="4" t="s">
        <v>127</v>
      </c>
      <c r="B9" s="21">
        <f>SUM(B3:B8)</f>
        <v>6318000</v>
      </c>
      <c r="C9" s="21">
        <f t="shared" ref="C9:D9" si="1">SUM(C3:C8)</f>
        <v>5676400</v>
      </c>
      <c r="D9" s="21">
        <f t="shared" si="1"/>
        <v>5645600</v>
      </c>
      <c r="E9" s="9">
        <f t="shared" si="0"/>
        <v>17640000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요금제</vt:lpstr>
    </vt:vector>
  </TitlesOfParts>
  <Company>길벗R&amp;D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조준현</cp:lastModifiedBy>
  <dcterms:created xsi:type="dcterms:W3CDTF">2011-09-06T05:38:05Z</dcterms:created>
  <dcterms:modified xsi:type="dcterms:W3CDTF">2023-10-09T16:57:35Z</dcterms:modified>
</cp:coreProperties>
</file>