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14회 실전모의고사\"/>
    </mc:Choice>
  </mc:AlternateContent>
  <xr:revisionPtr revIDLastSave="0" documentId="13_ncr:1_{EBB160E6-7025-48E3-A4F1-8904BD696F34}" xr6:coauthVersionLast="47" xr6:coauthVersionMax="47" xr10:uidLastSave="{00000000-0000-0000-0000-000000000000}"/>
  <bookViews>
    <workbookView xWindow="7815" yWindow="960" windowWidth="15390" windowHeight="12690" xr2:uid="{00000000-000D-0000-FFFF-FFFF00000000}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분석작업-1" sheetId="8" r:id="rId5"/>
    <sheet name="분석작업-2" sheetId="9" r:id="rId6"/>
    <sheet name="매크로작업" sheetId="10" r:id="rId7"/>
    <sheet name="차트작업" sheetId="11" r:id="rId8"/>
  </sheets>
  <calcPr calcId="191029"/>
  <pivotCaches>
    <pivotCache cacheId="1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0" l="1"/>
  <c r="E9" i="10"/>
  <c r="C9" i="10"/>
  <c r="K4" i="7" l="1"/>
  <c r="K5" i="7"/>
  <c r="K6" i="7"/>
  <c r="K7" i="7"/>
  <c r="K8" i="7"/>
  <c r="K9" i="7"/>
  <c r="K10" i="7"/>
  <c r="K3" i="7"/>
  <c r="D4" i="7"/>
  <c r="D5" i="7"/>
  <c r="D6" i="7"/>
  <c r="D7" i="7"/>
  <c r="D8" i="7"/>
  <c r="D9" i="7"/>
  <c r="D10" i="7"/>
  <c r="D3" i="7"/>
  <c r="F14" i="9" l="1"/>
  <c r="F13" i="9"/>
  <c r="F12" i="9"/>
  <c r="F11" i="9"/>
  <c r="F10" i="9"/>
  <c r="F9" i="9"/>
  <c r="F8" i="9"/>
  <c r="F7" i="9"/>
  <c r="F6" i="9"/>
  <c r="F5" i="9"/>
  <c r="F4" i="9"/>
  <c r="E17" i="8"/>
  <c r="F17" i="8" s="1"/>
  <c r="E16" i="8"/>
  <c r="F16" i="8" s="1"/>
  <c r="E15" i="8"/>
  <c r="F15" i="8" s="1"/>
  <c r="E14" i="8"/>
  <c r="F14" i="8" s="1"/>
  <c r="E13" i="8"/>
  <c r="F13" i="8" s="1"/>
  <c r="E12" i="8"/>
  <c r="F12" i="8" s="1"/>
  <c r="E11" i="8"/>
  <c r="F11" i="8" s="1"/>
  <c r="E10" i="8"/>
  <c r="F10" i="8" s="1"/>
  <c r="E9" i="8"/>
  <c r="F9" i="8" s="1"/>
  <c r="E8" i="8"/>
  <c r="F8" i="8" s="1"/>
  <c r="E7" i="8"/>
  <c r="F7" i="8" s="1"/>
  <c r="E6" i="8"/>
  <c r="F6" i="8" s="1"/>
  <c r="E5" i="8"/>
  <c r="F5" i="8" s="1"/>
  <c r="E4" i="8"/>
  <c r="F4" i="8" s="1"/>
  <c r="E3" i="8"/>
  <c r="F3" i="8" s="1"/>
  <c r="E33" i="7"/>
  <c r="F33" i="7" s="1"/>
  <c r="E32" i="7"/>
  <c r="F32" i="7" s="1"/>
  <c r="E31" i="7"/>
  <c r="F31" i="7" s="1"/>
  <c r="E30" i="7"/>
  <c r="F30" i="7" s="1"/>
  <c r="E29" i="7"/>
  <c r="F29" i="7" s="1"/>
  <c r="E28" i="7"/>
  <c r="F28" i="7" s="1"/>
  <c r="E27" i="7"/>
  <c r="F27" i="7" s="1"/>
  <c r="E26" i="7"/>
  <c r="F26" i="7" s="1"/>
  <c r="K22" i="7"/>
  <c r="K21" i="7"/>
  <c r="K20" i="7"/>
  <c r="K19" i="7"/>
  <c r="K18" i="7"/>
  <c r="D18" i="7"/>
  <c r="E18" i="7" s="1"/>
  <c r="K17" i="7"/>
  <c r="D17" i="7"/>
  <c r="E17" i="7" s="1"/>
  <c r="K16" i="7"/>
  <c r="D16" i="7"/>
  <c r="E16" i="7" s="1"/>
  <c r="K15" i="7"/>
  <c r="D15" i="7"/>
  <c r="E15" i="7" s="1"/>
  <c r="K14" i="7"/>
  <c r="H24" i="7" s="1"/>
  <c r="D14" i="7"/>
  <c r="E14" i="7" s="1"/>
  <c r="F11" i="6"/>
  <c r="G11" i="6" s="1"/>
  <c r="F10" i="6"/>
  <c r="G10" i="6" s="1"/>
  <c r="F9" i="6"/>
  <c r="G9" i="6" s="1"/>
  <c r="G8" i="6"/>
  <c r="F8" i="6"/>
  <c r="F7" i="6"/>
  <c r="G7" i="6" s="1"/>
  <c r="G6" i="6"/>
  <c r="F6" i="6"/>
  <c r="F5" i="6"/>
  <c r="G5" i="6" s="1"/>
  <c r="G4" i="6"/>
  <c r="F4" i="6"/>
</calcChain>
</file>

<file path=xl/sharedStrings.xml><?xml version="1.0" encoding="utf-8"?>
<sst xmlns="http://schemas.openxmlformats.org/spreadsheetml/2006/main" count="320" uniqueCount="249">
  <si>
    <t>담당자</t>
  </si>
  <si>
    <t>일자</t>
  </si>
  <si>
    <t>판매 대상</t>
  </si>
  <si>
    <t>도서명</t>
  </si>
  <si>
    <t>도서단가</t>
  </si>
  <si>
    <t>수량</t>
  </si>
  <si>
    <t>할인율</t>
  </si>
  <si>
    <t>판매금액</t>
  </si>
  <si>
    <t>실공급액</t>
  </si>
  <si>
    <t>학교</t>
  </si>
  <si>
    <t>거래처명</t>
  </si>
  <si>
    <t>제품명</t>
  </si>
  <si>
    <t>단가</t>
  </si>
  <si>
    <t>공급가액</t>
  </si>
  <si>
    <t>세액</t>
  </si>
  <si>
    <t>모니터</t>
  </si>
  <si>
    <t>상공마트 거래 내역서</t>
  </si>
  <si>
    <t>학번</t>
  </si>
  <si>
    <t>중간</t>
  </si>
  <si>
    <t>기말</t>
  </si>
  <si>
    <t>최종점수</t>
  </si>
  <si>
    <t>평가</t>
  </si>
  <si>
    <t>매출액</t>
  </si>
  <si>
    <t>강서</t>
    <phoneticPr fontId="3" type="noConversion"/>
  </si>
  <si>
    <t>강남</t>
    <phoneticPr fontId="3" type="noConversion"/>
  </si>
  <si>
    <t>북부</t>
    <phoneticPr fontId="3" type="noConversion"/>
  </si>
  <si>
    <t>남부</t>
    <phoneticPr fontId="3" type="noConversion"/>
  </si>
  <si>
    <t>중부</t>
    <phoneticPr fontId="3" type="noConversion"/>
  </si>
  <si>
    <t>동부</t>
    <phoneticPr fontId="3" type="noConversion"/>
  </si>
  <si>
    <t>서부</t>
    <phoneticPr fontId="3" type="noConversion"/>
  </si>
  <si>
    <t>성명</t>
    <phoneticPr fontId="3" type="noConversion"/>
  </si>
  <si>
    <t>안아영</t>
    <phoneticPr fontId="3" type="noConversion"/>
  </si>
  <si>
    <t>수</t>
    <phoneticPr fontId="3" type="noConversion"/>
  </si>
  <si>
    <t>오미지</t>
    <phoneticPr fontId="3" type="noConversion"/>
  </si>
  <si>
    <t>양</t>
    <phoneticPr fontId="3" type="noConversion"/>
  </si>
  <si>
    <t>한가람</t>
    <phoneticPr fontId="3" type="noConversion"/>
  </si>
  <si>
    <t>김정환</t>
    <phoneticPr fontId="3" type="noConversion"/>
  </si>
  <si>
    <t>우</t>
    <phoneticPr fontId="3" type="noConversion"/>
  </si>
  <si>
    <t>유정철</t>
    <phoneticPr fontId="3" type="noConversion"/>
  </si>
  <si>
    <t>미</t>
    <phoneticPr fontId="3" type="noConversion"/>
  </si>
  <si>
    <t>송미리</t>
    <phoneticPr fontId="3" type="noConversion"/>
  </si>
  <si>
    <t>평균</t>
    <phoneticPr fontId="3" type="noConversion"/>
  </si>
  <si>
    <t>분류</t>
    <phoneticPr fontId="3" type="noConversion"/>
  </si>
  <si>
    <t>상품코드</t>
    <phoneticPr fontId="3" type="noConversion"/>
  </si>
  <si>
    <t>상품명</t>
    <phoneticPr fontId="3" type="noConversion"/>
  </si>
  <si>
    <t>단가</t>
    <phoneticPr fontId="3" type="noConversion"/>
  </si>
  <si>
    <t>판매수량</t>
    <phoneticPr fontId="3" type="noConversion"/>
  </si>
  <si>
    <t>판매금액</t>
    <phoneticPr fontId="3" type="noConversion"/>
  </si>
  <si>
    <t>과일</t>
    <phoneticPr fontId="3" type="noConversion"/>
  </si>
  <si>
    <t>FA-001</t>
    <phoneticPr fontId="3" type="noConversion"/>
  </si>
  <si>
    <t>사과</t>
    <phoneticPr fontId="3" type="noConversion"/>
  </si>
  <si>
    <t>의류</t>
    <phoneticPr fontId="3" type="noConversion"/>
  </si>
  <si>
    <t>WF-001</t>
    <phoneticPr fontId="3" type="noConversion"/>
  </si>
  <si>
    <t>캐주얼</t>
    <phoneticPr fontId="3" type="noConversion"/>
  </si>
  <si>
    <t>FP-001</t>
    <phoneticPr fontId="3" type="noConversion"/>
  </si>
  <si>
    <t>배</t>
    <phoneticPr fontId="3" type="noConversion"/>
  </si>
  <si>
    <t>WF-002</t>
    <phoneticPr fontId="3" type="noConversion"/>
  </si>
  <si>
    <t>여성정장</t>
    <phoneticPr fontId="3" type="noConversion"/>
  </si>
  <si>
    <t>가전</t>
    <phoneticPr fontId="3" type="noConversion"/>
  </si>
  <si>
    <t>HT-001</t>
    <phoneticPr fontId="3" type="noConversion"/>
  </si>
  <si>
    <t>HDTV</t>
    <phoneticPr fontId="3" type="noConversion"/>
  </si>
  <si>
    <t>HC-002</t>
    <phoneticPr fontId="3" type="noConversion"/>
  </si>
  <si>
    <t>홈시어터</t>
    <phoneticPr fontId="3" type="noConversion"/>
  </si>
  <si>
    <t>FA-002</t>
    <phoneticPr fontId="3" type="noConversion"/>
  </si>
  <si>
    <t>복숭아</t>
    <phoneticPr fontId="3" type="noConversion"/>
  </si>
  <si>
    <t>세탁기</t>
    <phoneticPr fontId="3" type="noConversion"/>
  </si>
  <si>
    <t>HT-002</t>
    <phoneticPr fontId="3" type="noConversion"/>
  </si>
  <si>
    <t>냉장</t>
    <phoneticPr fontId="3" type="noConversion"/>
  </si>
  <si>
    <t>FP-002</t>
    <phoneticPr fontId="3" type="noConversion"/>
  </si>
  <si>
    <t>메론</t>
    <phoneticPr fontId="3" type="noConversion"/>
  </si>
  <si>
    <t>WM-001</t>
    <phoneticPr fontId="3" type="noConversion"/>
  </si>
  <si>
    <t>남성정장</t>
    <phoneticPr fontId="3" type="noConversion"/>
  </si>
  <si>
    <t>제품 공급 현황</t>
    <phoneticPr fontId="3" type="noConversion"/>
  </si>
  <si>
    <t>대한위성방송</t>
    <phoneticPr fontId="3" type="noConversion"/>
  </si>
  <si>
    <t>상공상사</t>
    <phoneticPr fontId="3" type="noConversion"/>
  </si>
  <si>
    <t>온누리</t>
    <phoneticPr fontId="3" type="noConversion"/>
  </si>
  <si>
    <t>우주통산</t>
    <phoneticPr fontId="3" type="noConversion"/>
  </si>
  <si>
    <t>홈플러스</t>
    <phoneticPr fontId="3" type="noConversion"/>
  </si>
  <si>
    <t>대한위성방송</t>
    <phoneticPr fontId="3" type="noConversion"/>
  </si>
  <si>
    <t>스캐너</t>
    <phoneticPr fontId="3" type="noConversion"/>
  </si>
  <si>
    <t>프린터</t>
    <phoneticPr fontId="3" type="noConversion"/>
  </si>
  <si>
    <t xml:space="preserve">[표1] </t>
    <phoneticPr fontId="3" type="noConversion"/>
  </si>
  <si>
    <t>사원별 현황</t>
    <phoneticPr fontId="3" type="noConversion"/>
  </si>
  <si>
    <t>부서명</t>
    <phoneticPr fontId="3" type="noConversion"/>
  </si>
  <si>
    <t>성명</t>
    <phoneticPr fontId="3" type="noConversion"/>
  </si>
  <si>
    <t>근무년수</t>
    <phoneticPr fontId="3" type="noConversion"/>
  </si>
  <si>
    <t>등급</t>
    <phoneticPr fontId="3" type="noConversion"/>
  </si>
  <si>
    <t>주민등록번호</t>
    <phoneticPr fontId="3" type="noConversion"/>
  </si>
  <si>
    <t>과목</t>
    <phoneticPr fontId="3" type="noConversion"/>
  </si>
  <si>
    <t>성별</t>
    <phoneticPr fontId="3" type="noConversion"/>
  </si>
  <si>
    <t>경리부</t>
    <phoneticPr fontId="3" type="noConversion"/>
  </si>
  <si>
    <t>이보람</t>
    <phoneticPr fontId="3" type="noConversion"/>
  </si>
  <si>
    <t>나소인</t>
    <phoneticPr fontId="3" type="noConversion"/>
  </si>
  <si>
    <t>영어</t>
    <phoneticPr fontId="3" type="noConversion"/>
  </si>
  <si>
    <t>영업부</t>
    <phoneticPr fontId="3" type="noConversion"/>
  </si>
  <si>
    <t>정태훈</t>
    <phoneticPr fontId="3" type="noConversion"/>
  </si>
  <si>
    <t>함하영</t>
    <phoneticPr fontId="3" type="noConversion"/>
  </si>
  <si>
    <t>국어</t>
    <phoneticPr fontId="3" type="noConversion"/>
  </si>
  <si>
    <t>총무부</t>
    <phoneticPr fontId="3" type="noConversion"/>
  </si>
  <si>
    <t>구정인</t>
    <phoneticPr fontId="3" type="noConversion"/>
  </si>
  <si>
    <t>020725-2348521</t>
    <phoneticPr fontId="3" type="noConversion"/>
  </si>
  <si>
    <t>오정철</t>
    <phoneticPr fontId="3" type="noConversion"/>
  </si>
  <si>
    <t>임우택</t>
    <phoneticPr fontId="3" type="noConversion"/>
  </si>
  <si>
    <t>031231-1247825</t>
    <phoneticPr fontId="3" type="noConversion"/>
  </si>
  <si>
    <t>이지함</t>
    <phoneticPr fontId="3" type="noConversion"/>
  </si>
  <si>
    <t>수학</t>
    <phoneticPr fontId="3" type="noConversion"/>
  </si>
  <si>
    <t>신성우</t>
    <phoneticPr fontId="3" type="noConversion"/>
  </si>
  <si>
    <t>040409-3254874</t>
    <phoneticPr fontId="3" type="noConversion"/>
  </si>
  <si>
    <t>하나영</t>
    <phoneticPr fontId="3" type="noConversion"/>
  </si>
  <si>
    <t>박철우</t>
    <phoneticPr fontId="3" type="noConversion"/>
  </si>
  <si>
    <t>021122-1352487</t>
    <phoneticPr fontId="3" type="noConversion"/>
  </si>
  <si>
    <t>류인태</t>
    <phoneticPr fontId="3" type="noConversion"/>
  </si>
  <si>
    <t>이대로</t>
    <phoneticPr fontId="3" type="noConversion"/>
  </si>
  <si>
    <t>030815-4354798</t>
    <phoneticPr fontId="3" type="noConversion"/>
  </si>
  <si>
    <t>김예윤</t>
    <phoneticPr fontId="3" type="noConversion"/>
  </si>
  <si>
    <t>한삼인</t>
    <phoneticPr fontId="3" type="noConversion"/>
  </si>
  <si>
    <t>020917-2514783</t>
    <phoneticPr fontId="3" type="noConversion"/>
  </si>
  <si>
    <t>유지온</t>
    <phoneticPr fontId="3" type="noConversion"/>
  </si>
  <si>
    <t>상공 문구 판매 현황</t>
    <phoneticPr fontId="3" type="noConversion"/>
  </si>
  <si>
    <t>제품명</t>
    <phoneticPr fontId="3" type="noConversion"/>
  </si>
  <si>
    <t xml:space="preserve">판매가격 </t>
    <phoneticPr fontId="3" type="noConversion"/>
  </si>
  <si>
    <t>판매수량</t>
    <phoneticPr fontId="3" type="noConversion"/>
  </si>
  <si>
    <t>판매금액</t>
    <phoneticPr fontId="3" type="noConversion"/>
  </si>
  <si>
    <t>할인금액</t>
    <phoneticPr fontId="3" type="noConversion"/>
  </si>
  <si>
    <t>품명</t>
    <phoneticPr fontId="3" type="noConversion"/>
  </si>
  <si>
    <t>지역</t>
    <phoneticPr fontId="3" type="noConversion"/>
  </si>
  <si>
    <t>단가</t>
    <phoneticPr fontId="3" type="noConversion"/>
  </si>
  <si>
    <t>판매량</t>
    <phoneticPr fontId="3" type="noConversion"/>
  </si>
  <si>
    <t>다이어리</t>
    <phoneticPr fontId="3" type="noConversion"/>
  </si>
  <si>
    <t>서울</t>
    <phoneticPr fontId="3" type="noConversion"/>
  </si>
  <si>
    <t>수첩</t>
    <phoneticPr fontId="3" type="noConversion"/>
  </si>
  <si>
    <t>마우스</t>
    <phoneticPr fontId="3" type="noConversion"/>
  </si>
  <si>
    <t>부산</t>
    <phoneticPr fontId="3" type="noConversion"/>
  </si>
  <si>
    <t>명함꽂이</t>
    <phoneticPr fontId="3" type="noConversion"/>
  </si>
  <si>
    <t>DVD</t>
    <phoneticPr fontId="3" type="noConversion"/>
  </si>
  <si>
    <t>경기</t>
    <phoneticPr fontId="3" type="noConversion"/>
  </si>
  <si>
    <t>딱풀</t>
    <phoneticPr fontId="3" type="noConversion"/>
  </si>
  <si>
    <t>라이트펜</t>
    <phoneticPr fontId="3" type="noConversion"/>
  </si>
  <si>
    <t>붓</t>
    <phoneticPr fontId="3" type="noConversion"/>
  </si>
  <si>
    <t>할인율표</t>
    <phoneticPr fontId="3" type="noConversion"/>
  </si>
  <si>
    <t>할인율</t>
    <phoneticPr fontId="3" type="noConversion"/>
  </si>
  <si>
    <t>서울평균</t>
    <phoneticPr fontId="3" type="noConversion"/>
  </si>
  <si>
    <t>[표5]</t>
    <phoneticPr fontId="3" type="noConversion"/>
  </si>
  <si>
    <t>과목별 성적 현황</t>
    <phoneticPr fontId="3" type="noConversion"/>
  </si>
  <si>
    <t>평균</t>
    <phoneticPr fontId="3" type="noConversion"/>
  </si>
  <si>
    <t>합격여부</t>
    <phoneticPr fontId="3" type="noConversion"/>
  </si>
  <si>
    <t>김인철</t>
    <phoneticPr fontId="3" type="noConversion"/>
  </si>
  <si>
    <t>오인영</t>
    <phoneticPr fontId="3" type="noConversion"/>
  </si>
  <si>
    <t>조인혜</t>
    <phoneticPr fontId="3" type="noConversion"/>
  </si>
  <si>
    <t>차영국</t>
    <phoneticPr fontId="3" type="noConversion"/>
  </si>
  <si>
    <t>고태평</t>
    <phoneticPr fontId="3" type="noConversion"/>
  </si>
  <si>
    <t>진만철</t>
    <phoneticPr fontId="3" type="noConversion"/>
  </si>
  <si>
    <t>유인애</t>
    <phoneticPr fontId="3" type="noConversion"/>
  </si>
  <si>
    <t>임나영</t>
    <phoneticPr fontId="3" type="noConversion"/>
  </si>
  <si>
    <t>도서 판매 내역</t>
    <phoneticPr fontId="3" type="noConversion"/>
  </si>
  <si>
    <t>학교</t>
    <phoneticPr fontId="3" type="noConversion"/>
  </si>
  <si>
    <t>플래시 MX 고급활용</t>
    <phoneticPr fontId="3" type="noConversion"/>
  </si>
  <si>
    <t>개인</t>
    <phoneticPr fontId="3" type="noConversion"/>
  </si>
  <si>
    <t>스위시 II</t>
    <phoneticPr fontId="3" type="noConversion"/>
  </si>
  <si>
    <t>서점</t>
    <phoneticPr fontId="3" type="noConversion"/>
  </si>
  <si>
    <t>네트워크 구축</t>
    <phoneticPr fontId="3" type="noConversion"/>
  </si>
  <si>
    <t>컴퓨터 엔지니어링</t>
    <phoneticPr fontId="3" type="noConversion"/>
  </si>
  <si>
    <t>자바 스크립트</t>
    <phoneticPr fontId="3" type="noConversion"/>
  </si>
  <si>
    <t>학원</t>
    <phoneticPr fontId="3" type="noConversion"/>
  </si>
  <si>
    <t>Visual Basic.NET</t>
    <phoneticPr fontId="3" type="noConversion"/>
  </si>
  <si>
    <t>웹마스터</t>
    <phoneticPr fontId="3" type="noConversion"/>
  </si>
  <si>
    <t>드림위버 MX</t>
    <phoneticPr fontId="3" type="noConversion"/>
  </si>
  <si>
    <t>매입처명</t>
    <phoneticPr fontId="3" type="noConversion"/>
  </si>
  <si>
    <t>전기이월</t>
    <phoneticPr fontId="3" type="noConversion"/>
  </si>
  <si>
    <t>기간매입</t>
    <phoneticPr fontId="3" type="noConversion"/>
  </si>
  <si>
    <t>기간매출</t>
    <phoneticPr fontId="3" type="noConversion"/>
  </si>
  <si>
    <t>매출액</t>
    <phoneticPr fontId="3" type="noConversion"/>
  </si>
  <si>
    <t>안동자</t>
    <phoneticPr fontId="3" type="noConversion"/>
  </si>
  <si>
    <t>한사랑</t>
    <phoneticPr fontId="3" type="noConversion"/>
  </si>
  <si>
    <t>한구민</t>
    <phoneticPr fontId="3" type="noConversion"/>
  </si>
  <si>
    <t>상공상사</t>
    <phoneticPr fontId="3" type="noConversion"/>
  </si>
  <si>
    <t>민들래</t>
    <phoneticPr fontId="3" type="noConversion"/>
  </si>
  <si>
    <t>㈜파랑새</t>
    <phoneticPr fontId="3" type="noConversion"/>
  </si>
  <si>
    <t>강소원</t>
    <phoneticPr fontId="3" type="noConversion"/>
  </si>
  <si>
    <t>대한문고</t>
    <phoneticPr fontId="3" type="noConversion"/>
  </si>
  <si>
    <t>한나라</t>
    <phoneticPr fontId="3" type="noConversion"/>
  </si>
  <si>
    <t>장라면</t>
    <phoneticPr fontId="3" type="noConversion"/>
  </si>
  <si>
    <t>오지원</t>
    <phoneticPr fontId="3" type="noConversion"/>
  </si>
  <si>
    <t>한두림</t>
    <phoneticPr fontId="3" type="noConversion"/>
  </si>
  <si>
    <t>오형택</t>
    <phoneticPr fontId="3" type="noConversion"/>
  </si>
  <si>
    <t>심바다</t>
    <phoneticPr fontId="3" type="noConversion"/>
  </si>
  <si>
    <t>합계</t>
    <phoneticPr fontId="3" type="noConversion"/>
  </si>
  <si>
    <t>대한 중고센터 품목 현황</t>
    <phoneticPr fontId="3" type="noConversion"/>
  </si>
  <si>
    <r>
      <t>[표2</t>
    </r>
    <r>
      <rPr>
        <sz val="11"/>
        <color theme="1"/>
        <rFont val="맑은 고딕"/>
        <family val="3"/>
        <charset val="129"/>
      </rPr>
      <t>]</t>
    </r>
    <phoneticPr fontId="3" type="noConversion"/>
  </si>
  <si>
    <r>
      <t>학원 수강</t>
    </r>
    <r>
      <rPr>
        <sz val="11"/>
        <color theme="1"/>
        <rFont val="맑은 고딕"/>
        <family val="3"/>
        <charset val="129"/>
      </rPr>
      <t xml:space="preserve"> 현황</t>
    </r>
    <phoneticPr fontId="3" type="noConversion"/>
  </si>
  <si>
    <r>
      <t>02</t>
    </r>
    <r>
      <rPr>
        <sz val="11"/>
        <color theme="1"/>
        <rFont val="맑은 고딕"/>
        <family val="3"/>
        <charset val="129"/>
      </rPr>
      <t>1010-4231519</t>
    </r>
    <phoneticPr fontId="3" type="noConversion"/>
  </si>
  <si>
    <r>
      <t>[표3</t>
    </r>
    <r>
      <rPr>
        <sz val="11"/>
        <color theme="1"/>
        <rFont val="맑은 고딕"/>
        <family val="3"/>
        <charset val="129"/>
      </rPr>
      <t>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</si>
  <si>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4]</t>
    </r>
    <phoneticPr fontId="3" type="noConversion"/>
  </si>
  <si>
    <r>
      <t>지역별 판매</t>
    </r>
    <r>
      <rPr>
        <sz val="11"/>
        <color theme="1"/>
        <rFont val="맑은 고딕"/>
        <family val="3"/>
        <charset val="129"/>
      </rPr>
      <t xml:space="preserve"> 현황</t>
    </r>
    <phoneticPr fontId="3" type="noConversion"/>
  </si>
  <si>
    <r>
      <t>D</t>
    </r>
    <r>
      <rPr>
        <sz val="11"/>
        <color theme="1"/>
        <rFont val="맑은 고딕"/>
        <family val="3"/>
        <charset val="129"/>
      </rPr>
      <t>VD</t>
    </r>
    <phoneticPr fontId="3" type="noConversion"/>
  </si>
  <si>
    <t>하반기 자동차 매출 현황</t>
    <phoneticPr fontId="3" type="noConversion"/>
  </si>
  <si>
    <t>단위:천원</t>
    <phoneticPr fontId="3" type="noConversion"/>
  </si>
  <si>
    <t>지점</t>
    <phoneticPr fontId="3" type="noConversion"/>
  </si>
  <si>
    <t>목표량</t>
    <phoneticPr fontId="3" type="noConversion"/>
  </si>
  <si>
    <t>목표액</t>
    <phoneticPr fontId="3" type="noConversion"/>
  </si>
  <si>
    <t>판매량</t>
    <phoneticPr fontId="3" type="noConversion"/>
  </si>
  <si>
    <t>030621-3469851</t>
    <phoneticPr fontId="3" type="noConversion"/>
  </si>
  <si>
    <t>[표1] 교육학 성적 평가</t>
    <phoneticPr fontId="3" type="noConversion"/>
  </si>
  <si>
    <t>규격</t>
    <phoneticPr fontId="3" type="noConversion"/>
  </si>
  <si>
    <t>예상금액</t>
    <phoneticPr fontId="3" type="noConversion"/>
  </si>
  <si>
    <t>사용기간</t>
    <phoneticPr fontId="3" type="noConversion"/>
  </si>
  <si>
    <t>상태</t>
    <phoneticPr fontId="3" type="noConversion"/>
  </si>
  <si>
    <t>등록일</t>
    <phoneticPr fontId="3" type="noConversion"/>
  </si>
  <si>
    <t>연락처</t>
    <phoneticPr fontId="3" type="noConversion"/>
  </si>
  <si>
    <t>장롱</t>
    <phoneticPr fontId="3" type="noConversion"/>
  </si>
  <si>
    <t>8자/나무</t>
    <phoneticPr fontId="3" type="noConversion"/>
  </si>
  <si>
    <t>2년</t>
    <phoneticPr fontId="3" type="noConversion"/>
  </si>
  <si>
    <t>B등급</t>
    <phoneticPr fontId="3" type="noConversion"/>
  </si>
  <si>
    <t>2237-6785</t>
    <phoneticPr fontId="3" type="noConversion"/>
  </si>
  <si>
    <t>VIP의자</t>
    <phoneticPr fontId="3" type="noConversion"/>
  </si>
  <si>
    <t>W650*D720*H1220</t>
    <phoneticPr fontId="3" type="noConversion"/>
  </si>
  <si>
    <t>2년 7개월</t>
    <phoneticPr fontId="3" type="noConversion"/>
  </si>
  <si>
    <t>AA급</t>
    <phoneticPr fontId="3" type="noConversion"/>
  </si>
  <si>
    <t>324-0088</t>
    <phoneticPr fontId="3" type="noConversion"/>
  </si>
  <si>
    <t>TV</t>
    <phoneticPr fontId="3" type="noConversion"/>
  </si>
  <si>
    <t>50"(벽걸이)</t>
    <phoneticPr fontId="3" type="noConversion"/>
  </si>
  <si>
    <t>3년</t>
    <phoneticPr fontId="3" type="noConversion"/>
  </si>
  <si>
    <t>수리요망</t>
    <phoneticPr fontId="3" type="noConversion"/>
  </si>
  <si>
    <t>567-5987</t>
    <phoneticPr fontId="3" type="noConversion"/>
  </si>
  <si>
    <t>10kg(드럼형)</t>
    <phoneticPr fontId="3" type="noConversion"/>
  </si>
  <si>
    <t>5개월</t>
    <phoneticPr fontId="3" type="noConversion"/>
  </si>
  <si>
    <t>AAA급</t>
    <phoneticPr fontId="3" type="noConversion"/>
  </si>
  <si>
    <t>555-4895</t>
    <phoneticPr fontId="3" type="noConversion"/>
  </si>
  <si>
    <t>전기히터</t>
    <phoneticPr fontId="3" type="noConversion"/>
  </si>
  <si>
    <t>12평형</t>
    <phoneticPr fontId="3" type="noConversion"/>
  </si>
  <si>
    <t>18개월</t>
    <phoneticPr fontId="3" type="noConversion"/>
  </si>
  <si>
    <t>양호</t>
    <phoneticPr fontId="3" type="noConversion"/>
  </si>
  <si>
    <t>658-1628</t>
    <phoneticPr fontId="3" type="noConversion"/>
  </si>
  <si>
    <t>김치냉장고</t>
    <phoneticPr fontId="3" type="noConversion"/>
  </si>
  <si>
    <t>880*690*994mm</t>
    <phoneticPr fontId="3" type="noConversion"/>
  </si>
  <si>
    <t>15개월</t>
    <phoneticPr fontId="3" type="noConversion"/>
  </si>
  <si>
    <t>특A급</t>
    <phoneticPr fontId="3" type="noConversion"/>
  </si>
  <si>
    <t>332-6917</t>
    <phoneticPr fontId="3" type="noConversion"/>
  </si>
  <si>
    <t>▣담당자별 매입 매출 현황▣</t>
    <phoneticPr fontId="3" type="noConversion"/>
  </si>
  <si>
    <t>(모두)</t>
  </si>
  <si>
    <t>행 레이블</t>
  </si>
  <si>
    <t>대한위성방송</t>
  </si>
  <si>
    <t>상공상사</t>
  </si>
  <si>
    <t>온누리</t>
  </si>
  <si>
    <t>우주통산</t>
  </si>
  <si>
    <t>홈플러스</t>
  </si>
  <si>
    <t>총합계</t>
  </si>
  <si>
    <t>평균 : 공급가액</t>
  </si>
  <si>
    <t>평균 : 세액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</si>
</sst>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76" formatCode="#,##0&quot;개&quot;"/>
  </numFmts>
  <fonts count="1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6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6"/>
      <name val="맑은 고딕"/>
      <family val="3"/>
      <charset val="129"/>
    </font>
    <font>
      <b/>
      <sz val="14"/>
      <name val="굴림체"/>
      <family val="3"/>
      <charset val="129"/>
    </font>
    <font>
      <sz val="11"/>
      <color theme="1"/>
      <name val="맑은 고딕"/>
      <family val="2"/>
      <charset val="129"/>
    </font>
    <font>
      <b/>
      <u val="double"/>
      <sz val="16"/>
      <color theme="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4" fillId="0" borderId="1" xfId="1" applyFont="1" applyBorder="1" applyAlignment="1">
      <alignment horizontal="center" vertical="center"/>
    </xf>
    <xf numFmtId="0" fontId="4" fillId="0" borderId="0" xfId="1" applyFont="1" applyAlignment="1">
      <alignment vertical="center"/>
    </xf>
    <xf numFmtId="41" fontId="4" fillId="0" borderId="1" xfId="2" applyFont="1" applyBorder="1" applyAlignment="1">
      <alignment horizontal="center" vertical="center"/>
    </xf>
    <xf numFmtId="1" fontId="4" fillId="0" borderId="1" xfId="1" applyNumberFormat="1" applyFont="1" applyBorder="1" applyAlignment="1">
      <alignment horizontal="center" vertical="center"/>
    </xf>
    <xf numFmtId="2" fontId="4" fillId="0" borderId="1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center" vertical="center"/>
    </xf>
    <xf numFmtId="41" fontId="4" fillId="0" borderId="1" xfId="1" applyNumberFormat="1" applyFont="1" applyBorder="1" applyAlignment="1">
      <alignment vertical="center"/>
    </xf>
    <xf numFmtId="0" fontId="4" fillId="0" borderId="1" xfId="2" applyNumberFormat="1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vertical="center"/>
    </xf>
    <xf numFmtId="0" fontId="4" fillId="0" borderId="1" xfId="2" applyNumberFormat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1" xfId="1" applyFont="1" applyBorder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0" borderId="0" xfId="1" applyFont="1" applyAlignment="1">
      <alignment horizontal="left" vertical="center"/>
    </xf>
    <xf numFmtId="41" fontId="4" fillId="0" borderId="1" xfId="2" applyFont="1" applyBorder="1" applyAlignment="1">
      <alignment vertical="center"/>
    </xf>
    <xf numFmtId="9" fontId="4" fillId="0" borderId="1" xfId="1" applyNumberFormat="1" applyFont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9" fontId="4" fillId="0" borderId="1" xfId="3" applyFont="1" applyBorder="1" applyAlignment="1">
      <alignment horizontal="center" vertical="center"/>
    </xf>
    <xf numFmtId="14" fontId="4" fillId="0" borderId="0" xfId="1" applyNumberFormat="1" applyFont="1" applyAlignment="1">
      <alignment vertical="center"/>
    </xf>
    <xf numFmtId="41" fontId="4" fillId="0" borderId="1" xfId="4" applyFont="1" applyBorder="1" applyAlignment="1">
      <alignment horizontal="center" vertical="center"/>
    </xf>
    <xf numFmtId="41" fontId="4" fillId="0" borderId="1" xfId="4" applyFont="1" applyFill="1" applyBorder="1" applyAlignment="1">
      <alignment horizontal="center" vertical="center"/>
    </xf>
    <xf numFmtId="43" fontId="4" fillId="0" borderId="1" xfId="2" applyNumberFormat="1" applyFont="1" applyFill="1" applyBorder="1" applyAlignment="1">
      <alignment vertical="center"/>
    </xf>
    <xf numFmtId="41" fontId="4" fillId="0" borderId="1" xfId="2" applyFont="1" applyFill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</cellXfs>
  <cellStyles count="5">
    <cellStyle name="백분율 2" xfId="3" xr:uid="{00000000-0005-0000-0000-000000000000}"/>
    <cellStyle name="쉼표 [0]" xfId="4" builtinId="6"/>
    <cellStyle name="쉼표 [0] 2" xfId="2" xr:uid="{00000000-0005-0000-0000-000002000000}"/>
    <cellStyle name="표준" xfId="0" builtinId="0"/>
    <cellStyle name="표준 2" xfId="1" xr:uid="{00000000-0005-0000-0000-000004000000}"/>
  </cellStyles>
  <dxfs count="2">
    <dxf>
      <numFmt numFmtId="33" formatCode="_-* #,##0_-;\-* #,##0_-;_-* &quot;-&quot;_-;_-@_-"/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600">
                <a:latin typeface="궁서체" panose="02030609000101010101" pitchFamily="17" charset="-127"/>
                <a:ea typeface="궁서체" panose="02030609000101010101" pitchFamily="17" charset="-127"/>
              </a:rPr>
              <a:t>하반기 자동차 매출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invertIfNegative val="0"/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북부</c:v>
                </c:pt>
                <c:pt idx="3">
                  <c:v>남부</c:v>
                </c:pt>
                <c:pt idx="4">
                  <c:v>중부</c:v>
                </c:pt>
                <c:pt idx="5">
                  <c:v>동부</c:v>
                </c:pt>
                <c:pt idx="6">
                  <c:v>서부</c:v>
                </c:pt>
              </c:strCache>
            </c:strRef>
          </c:cat>
          <c:val>
            <c:numRef>
              <c:f>차트작업!$C$4:$C$10</c:f>
              <c:numCache>
                <c:formatCode>_(* #,##0_);_(* \(#,##0\);_(* "-"_);_(@_)</c:formatCode>
                <c:ptCount val="7"/>
                <c:pt idx="0">
                  <c:v>985600</c:v>
                </c:pt>
                <c:pt idx="1">
                  <c:v>862400</c:v>
                </c:pt>
                <c:pt idx="2">
                  <c:v>638400</c:v>
                </c:pt>
                <c:pt idx="3">
                  <c:v>324800</c:v>
                </c:pt>
                <c:pt idx="4">
                  <c:v>828800</c:v>
                </c:pt>
                <c:pt idx="5">
                  <c:v>750400</c:v>
                </c:pt>
                <c:pt idx="6">
                  <c:v>963200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E-497F-B920-6535A75EC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031552"/>
        <c:axId val="123033088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매출액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북부</c:v>
                </c:pt>
                <c:pt idx="3">
                  <c:v>남부</c:v>
                </c:pt>
                <c:pt idx="4">
                  <c:v>중부</c:v>
                </c:pt>
                <c:pt idx="5">
                  <c:v>동부</c:v>
                </c:pt>
                <c:pt idx="6">
                  <c:v>서부</c:v>
                </c:pt>
              </c:strCache>
            </c:strRef>
          </c:cat>
          <c:val>
            <c:numRef>
              <c:f>차트작업!$E$4:$E$10</c:f>
              <c:numCache>
                <c:formatCode>_(* #,##0_);_(* \(#,##0\);_(* "-"_);_(@_)</c:formatCode>
                <c:ptCount val="7"/>
                <c:pt idx="0">
                  <c:v>929600</c:v>
                </c:pt>
                <c:pt idx="1">
                  <c:v>761600</c:v>
                </c:pt>
                <c:pt idx="2">
                  <c:v>627200</c:v>
                </c:pt>
                <c:pt idx="3">
                  <c:v>257600</c:v>
                </c:pt>
                <c:pt idx="4">
                  <c:v>672000</c:v>
                </c:pt>
                <c:pt idx="5">
                  <c:v>560000</c:v>
                </c:pt>
                <c:pt idx="6">
                  <c:v>952000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BE-497F-B920-6535A75EC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2064"/>
        <c:axId val="307054960"/>
      </c:lineChart>
      <c:catAx>
        <c:axId val="123031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3033088"/>
        <c:crosses val="autoZero"/>
        <c:auto val="1"/>
        <c:lblAlgn val="ctr"/>
        <c:lblOffset val="100"/>
        <c:noMultiLvlLbl val="0"/>
      </c:catAx>
      <c:valAx>
        <c:axId val="123033088"/>
        <c:scaling>
          <c:orientation val="minMax"/>
          <c:max val="2000000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23031552"/>
        <c:crosses val="autoZero"/>
        <c:crossBetween val="between"/>
      </c:valAx>
      <c:valAx>
        <c:axId val="30705496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307042064"/>
        <c:crosses val="max"/>
        <c:crossBetween val="between"/>
      </c:valAx>
      <c:catAx>
        <c:axId val="307042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054960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txPr>
        <a:bodyPr/>
        <a:lstStyle/>
        <a:p>
          <a:pPr>
            <a:defRPr b="1">
              <a:latin typeface="궁서체" panose="02030609000101010101" pitchFamily="17" charset="-127"/>
              <a:ea typeface="궁서체" panose="02030609000101010101" pitchFamily="17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0</xdr:colOff>
      <xdr:row>4</xdr:row>
      <xdr:rowOff>0</xdr:rowOff>
    </xdr:to>
    <xdr:sp macro="[0]!평균" textlink="">
      <xdr:nvSpPr>
        <xdr:cNvPr id="4" name="사각형: 둥근 모서리 1">
          <a:extLst>
            <a:ext uri="{FF2B5EF4-FFF2-40B4-BE49-F238E27FC236}">
              <a16:creationId xmlns:a16="http://schemas.microsoft.com/office/drawing/2014/main" id="{B3B61021-FDD5-0E63-605B-1D98DBF72264}"/>
            </a:ext>
          </a:extLst>
        </xdr:cNvPr>
        <xdr:cNvSpPr/>
      </xdr:nvSpPr>
      <xdr:spPr>
        <a:xfrm>
          <a:off x="5448300" y="209550"/>
          <a:ext cx="6858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8</xdr:row>
      <xdr:rowOff>0</xdr:rowOff>
    </xdr:to>
    <xdr:sp macro="[0]!정렬" textlink="">
      <xdr:nvSpPr>
        <xdr:cNvPr id="5" name="타원 1">
          <a:extLst>
            <a:ext uri="{FF2B5EF4-FFF2-40B4-BE49-F238E27FC236}">
              <a16:creationId xmlns:a16="http://schemas.microsoft.com/office/drawing/2014/main" id="{F36284D8-5CBF-CFDB-6DCB-B07FBF3F6CCA}"/>
            </a:ext>
          </a:extLst>
        </xdr:cNvPr>
        <xdr:cNvSpPr/>
      </xdr:nvSpPr>
      <xdr:spPr>
        <a:xfrm>
          <a:off x="5448300" y="1047750"/>
          <a:ext cx="685800" cy="6286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정렬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32</xdr:row>
      <xdr:rowOff>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4472.487825462966" createdVersion="6" refreshedVersion="6" minRefreshableVersion="3" recordCount="15" xr:uid="{00000000-000A-0000-FFFF-FFFF00000000}">
  <cacheSource type="worksheet">
    <worksheetSource ref="A2:F17" sheet="분석작업-1"/>
  </cacheSource>
  <cacheFields count="6">
    <cacheField name="거래처명" numFmtId="0">
      <sharedItems count="5">
        <s v="대한위성방송"/>
        <s v="상공상사"/>
        <s v="온누리"/>
        <s v="우주통산"/>
        <s v="홈플러스"/>
      </sharedItems>
    </cacheField>
    <cacheField name="제품명" numFmtId="0">
      <sharedItems count="3">
        <s v="모니터"/>
        <s v="스캐너"/>
        <s v="프린터"/>
      </sharedItems>
    </cacheField>
    <cacheField name="수량" numFmtId="0">
      <sharedItems containsSemiMixedTypes="0" containsString="0" containsNumber="1" containsInteger="1" minValue="13" maxValue="345"/>
    </cacheField>
    <cacheField name="단가" numFmtId="41">
      <sharedItems containsSemiMixedTypes="0" containsString="0" containsNumber="1" containsInteger="1" minValue="135000" maxValue="225000"/>
    </cacheField>
    <cacheField name="공급가액" numFmtId="41">
      <sharedItems containsSemiMixedTypes="0" containsString="0" containsNumber="1" containsInteger="1" minValue="2015000" maxValue="46575000"/>
    </cacheField>
    <cacheField name="세액" numFmtId="41">
      <sharedItems containsSemiMixedTypes="0" containsString="0" containsNumber="1" containsInteger="1" minValue="201500" maxValue="4657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n v="156"/>
    <n v="135000"/>
    <n v="21060000"/>
    <n v="2106000"/>
  </r>
  <r>
    <x v="1"/>
    <x v="0"/>
    <n v="44"/>
    <n v="135000"/>
    <n v="5940000"/>
    <n v="594000"/>
  </r>
  <r>
    <x v="2"/>
    <x v="0"/>
    <n v="142"/>
    <n v="135000"/>
    <n v="19170000"/>
    <n v="1917000"/>
  </r>
  <r>
    <x v="3"/>
    <x v="0"/>
    <n v="55"/>
    <n v="135000"/>
    <n v="7425000"/>
    <n v="742500"/>
  </r>
  <r>
    <x v="4"/>
    <x v="0"/>
    <n v="345"/>
    <n v="135000"/>
    <n v="46575000"/>
    <n v="4657500"/>
  </r>
  <r>
    <x v="0"/>
    <x v="1"/>
    <n v="100"/>
    <n v="225000"/>
    <n v="22500000"/>
    <n v="2250000"/>
  </r>
  <r>
    <x v="1"/>
    <x v="1"/>
    <n v="43"/>
    <n v="225000"/>
    <n v="9675000"/>
    <n v="967500"/>
  </r>
  <r>
    <x v="2"/>
    <x v="1"/>
    <n v="22"/>
    <n v="225000"/>
    <n v="4950000"/>
    <n v="495000"/>
  </r>
  <r>
    <x v="3"/>
    <x v="1"/>
    <n v="111"/>
    <n v="225000"/>
    <n v="24975000"/>
    <n v="2497500"/>
  </r>
  <r>
    <x v="4"/>
    <x v="1"/>
    <n v="200"/>
    <n v="225000"/>
    <n v="45000000"/>
    <n v="4500000"/>
  </r>
  <r>
    <x v="0"/>
    <x v="2"/>
    <n v="112"/>
    <n v="155000"/>
    <n v="17360000"/>
    <n v="1736000"/>
  </r>
  <r>
    <x v="1"/>
    <x v="2"/>
    <n v="18"/>
    <n v="155000"/>
    <n v="2790000"/>
    <n v="279000"/>
  </r>
  <r>
    <x v="2"/>
    <x v="2"/>
    <n v="100"/>
    <n v="155000"/>
    <n v="15500000"/>
    <n v="1550000"/>
  </r>
  <r>
    <x v="3"/>
    <x v="2"/>
    <n v="13"/>
    <n v="155000"/>
    <n v="2015000"/>
    <n v="201500"/>
  </r>
  <r>
    <x v="4"/>
    <x v="2"/>
    <n v="23"/>
    <n v="155000"/>
    <n v="3565000"/>
    <n v="356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1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2:C28" firstHeaderRow="0" firstDataRow="1" firstDataCol="1" rowPageCount="1" colPageCount="1"/>
  <pivotFields count="6"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numFmtId="41" showAll="0"/>
    <pivotField dataField="1"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평균 : 공급가액" fld="4" subtotal="average" baseField="0" baseItem="0"/>
    <dataField name="평균 : 세액" fld="5" subtotal="average" baseField="0" baseItem="0"/>
  </dataFields>
  <formats count="1">
    <format dxfId="0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9"/>
  <sheetViews>
    <sheetView tabSelected="1" workbookViewId="0"/>
  </sheetViews>
  <sheetFormatPr defaultRowHeight="16.5"/>
  <cols>
    <col min="1" max="1" width="11" style="2" customWidth="1"/>
    <col min="2" max="2" width="19.625" style="2" bestFit="1" customWidth="1"/>
    <col min="3" max="3" width="13.125" style="2" customWidth="1"/>
    <col min="4" max="4" width="15.75" style="2" customWidth="1"/>
    <col min="5" max="5" width="11.625" style="2" customWidth="1"/>
    <col min="6" max="6" width="11.875" style="2" customWidth="1"/>
    <col min="7" max="7" width="17.625" style="2" customWidth="1"/>
    <col min="8" max="16384" width="9" style="2"/>
  </cols>
  <sheetData>
    <row r="1" spans="1:7">
      <c r="A1" s="2" t="s">
        <v>187</v>
      </c>
    </row>
    <row r="3" spans="1:7">
      <c r="A3" s="2" t="s">
        <v>124</v>
      </c>
      <c r="B3" s="2" t="s">
        <v>203</v>
      </c>
      <c r="C3" s="2" t="s">
        <v>204</v>
      </c>
      <c r="D3" s="2" t="s">
        <v>205</v>
      </c>
      <c r="E3" s="2" t="s">
        <v>206</v>
      </c>
      <c r="F3" s="2" t="s">
        <v>207</v>
      </c>
      <c r="G3" s="2" t="s">
        <v>208</v>
      </c>
    </row>
    <row r="4" spans="1:7">
      <c r="A4" s="2" t="s">
        <v>209</v>
      </c>
      <c r="B4" s="2" t="s">
        <v>210</v>
      </c>
      <c r="C4" s="2">
        <v>780000</v>
      </c>
      <c r="D4" s="2" t="s">
        <v>211</v>
      </c>
      <c r="E4" s="2" t="s">
        <v>212</v>
      </c>
      <c r="F4" s="21">
        <v>44987</v>
      </c>
      <c r="G4" s="2" t="s">
        <v>213</v>
      </c>
    </row>
    <row r="5" spans="1:7">
      <c r="A5" s="2" t="s">
        <v>214</v>
      </c>
      <c r="B5" s="2" t="s">
        <v>215</v>
      </c>
      <c r="C5" s="2">
        <v>115000</v>
      </c>
      <c r="D5" s="2" t="s">
        <v>216</v>
      </c>
      <c r="E5" s="2" t="s">
        <v>217</v>
      </c>
      <c r="F5" s="21">
        <v>44796</v>
      </c>
      <c r="G5" s="2" t="s">
        <v>218</v>
      </c>
    </row>
    <row r="6" spans="1:7">
      <c r="A6" s="2" t="s">
        <v>219</v>
      </c>
      <c r="B6" s="2" t="s">
        <v>220</v>
      </c>
      <c r="C6" s="2">
        <v>167000</v>
      </c>
      <c r="D6" s="2" t="s">
        <v>221</v>
      </c>
      <c r="E6" s="2" t="s">
        <v>222</v>
      </c>
      <c r="F6" s="21">
        <v>44896</v>
      </c>
      <c r="G6" s="2" t="s">
        <v>223</v>
      </c>
    </row>
    <row r="7" spans="1:7">
      <c r="A7" s="2" t="s">
        <v>65</v>
      </c>
      <c r="B7" s="2" t="s">
        <v>224</v>
      </c>
      <c r="C7" s="2">
        <v>678000</v>
      </c>
      <c r="D7" s="2" t="s">
        <v>225</v>
      </c>
      <c r="E7" s="2" t="s">
        <v>226</v>
      </c>
      <c r="F7" s="21">
        <v>45098</v>
      </c>
      <c r="G7" s="2" t="s">
        <v>227</v>
      </c>
    </row>
    <row r="8" spans="1:7">
      <c r="A8" s="2" t="s">
        <v>228</v>
      </c>
      <c r="B8" s="2" t="s">
        <v>229</v>
      </c>
      <c r="C8" s="2">
        <v>87000</v>
      </c>
      <c r="D8" s="2" t="s">
        <v>230</v>
      </c>
      <c r="E8" s="2" t="s">
        <v>231</v>
      </c>
      <c r="F8" s="21">
        <v>43915</v>
      </c>
      <c r="G8" s="2" t="s">
        <v>232</v>
      </c>
    </row>
    <row r="9" spans="1:7">
      <c r="A9" s="2" t="s">
        <v>233</v>
      </c>
      <c r="B9" s="2" t="s">
        <v>234</v>
      </c>
      <c r="C9" s="2">
        <v>789000</v>
      </c>
      <c r="D9" s="2" t="s">
        <v>235</v>
      </c>
      <c r="E9" s="2" t="s">
        <v>236</v>
      </c>
      <c r="F9" s="21">
        <v>44295</v>
      </c>
      <c r="G9" s="2" t="s">
        <v>237</v>
      </c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workbookViewId="0">
      <selection sqref="A1:G1"/>
    </sheetView>
  </sheetViews>
  <sheetFormatPr defaultRowHeight="16.5"/>
  <cols>
    <col min="2" max="2" width="12.875" bestFit="1" customWidth="1"/>
    <col min="4" max="5" width="9.25" bestFit="1" customWidth="1"/>
    <col min="6" max="6" width="9.625" bestFit="1" customWidth="1"/>
    <col min="7" max="7" width="12.625" customWidth="1"/>
  </cols>
  <sheetData>
    <row r="1" spans="1:7" ht="24" customHeight="1">
      <c r="A1" s="35" t="s">
        <v>238</v>
      </c>
      <c r="B1" s="35"/>
      <c r="C1" s="35"/>
      <c r="D1" s="35"/>
      <c r="E1" s="35"/>
      <c r="F1" s="35"/>
      <c r="G1" s="35"/>
    </row>
    <row r="3" spans="1:7">
      <c r="A3" s="29" t="s">
        <v>0</v>
      </c>
      <c r="B3" s="29" t="s">
        <v>1</v>
      </c>
      <c r="C3" s="29" t="s">
        <v>167</v>
      </c>
      <c r="D3" s="29" t="s">
        <v>168</v>
      </c>
      <c r="E3" s="29" t="s">
        <v>169</v>
      </c>
      <c r="F3" s="29" t="s">
        <v>170</v>
      </c>
      <c r="G3" s="29" t="s">
        <v>171</v>
      </c>
    </row>
    <row r="4" spans="1:7">
      <c r="A4" s="29" t="s">
        <v>172</v>
      </c>
      <c r="B4" s="34">
        <v>45133</v>
      </c>
      <c r="C4" s="29" t="s">
        <v>173</v>
      </c>
      <c r="D4" s="30">
        <v>55</v>
      </c>
      <c r="E4" s="30">
        <v>220</v>
      </c>
      <c r="F4" s="30">
        <v>160</v>
      </c>
      <c r="G4" s="31">
        <v>800000</v>
      </c>
    </row>
    <row r="5" spans="1:7">
      <c r="A5" s="29" t="s">
        <v>174</v>
      </c>
      <c r="B5" s="34">
        <v>45134</v>
      </c>
      <c r="C5" s="29" t="s">
        <v>175</v>
      </c>
      <c r="D5" s="30">
        <v>45</v>
      </c>
      <c r="E5" s="30">
        <v>120</v>
      </c>
      <c r="F5" s="30">
        <v>130</v>
      </c>
      <c r="G5" s="31">
        <v>650000</v>
      </c>
    </row>
    <row r="6" spans="1:7">
      <c r="A6" s="29" t="s">
        <v>176</v>
      </c>
      <c r="B6" s="34">
        <v>45135</v>
      </c>
      <c r="C6" s="29" t="s">
        <v>177</v>
      </c>
      <c r="D6" s="30">
        <v>29</v>
      </c>
      <c r="E6" s="30">
        <v>100</v>
      </c>
      <c r="F6" s="30">
        <v>115</v>
      </c>
      <c r="G6" s="31">
        <v>575000</v>
      </c>
    </row>
    <row r="7" spans="1:7">
      <c r="A7" s="29" t="s">
        <v>178</v>
      </c>
      <c r="B7" s="34">
        <v>45184</v>
      </c>
      <c r="C7" s="29" t="s">
        <v>179</v>
      </c>
      <c r="D7" s="30">
        <v>30</v>
      </c>
      <c r="E7" s="30">
        <v>220</v>
      </c>
      <c r="F7" s="30">
        <v>210</v>
      </c>
      <c r="G7" s="31">
        <v>1050000</v>
      </c>
    </row>
    <row r="8" spans="1:7">
      <c r="A8" s="29" t="s">
        <v>180</v>
      </c>
      <c r="B8" s="34">
        <v>45185</v>
      </c>
      <c r="C8" s="29" t="s">
        <v>173</v>
      </c>
      <c r="D8" s="30">
        <v>26</v>
      </c>
      <c r="E8" s="30">
        <v>210</v>
      </c>
      <c r="F8" s="30">
        <v>220</v>
      </c>
      <c r="G8" s="31">
        <v>1100000</v>
      </c>
    </row>
    <row r="9" spans="1:7">
      <c r="A9" s="29" t="s">
        <v>181</v>
      </c>
      <c r="B9" s="34">
        <v>45186</v>
      </c>
      <c r="C9" s="29" t="s">
        <v>175</v>
      </c>
      <c r="D9" s="30">
        <v>77</v>
      </c>
      <c r="E9" s="30">
        <v>150</v>
      </c>
      <c r="F9" s="30">
        <v>170</v>
      </c>
      <c r="G9" s="31">
        <v>850000</v>
      </c>
    </row>
    <row r="10" spans="1:7">
      <c r="A10" s="29" t="s">
        <v>182</v>
      </c>
      <c r="B10" s="34">
        <v>45188</v>
      </c>
      <c r="C10" s="29" t="s">
        <v>179</v>
      </c>
      <c r="D10" s="30">
        <v>55</v>
      </c>
      <c r="E10" s="30">
        <v>140</v>
      </c>
      <c r="F10" s="30">
        <v>190</v>
      </c>
      <c r="G10" s="31">
        <v>950000</v>
      </c>
    </row>
    <row r="11" spans="1:7">
      <c r="A11" s="29" t="s">
        <v>183</v>
      </c>
      <c r="B11" s="34">
        <v>45189</v>
      </c>
      <c r="C11" s="29" t="s">
        <v>176</v>
      </c>
      <c r="D11" s="30">
        <v>67</v>
      </c>
      <c r="E11" s="30">
        <v>130</v>
      </c>
      <c r="F11" s="30">
        <v>195</v>
      </c>
      <c r="G11" s="31">
        <v>975000</v>
      </c>
    </row>
    <row r="12" spans="1:7">
      <c r="A12" s="29" t="s">
        <v>184</v>
      </c>
      <c r="B12" s="34">
        <v>45190</v>
      </c>
      <c r="C12" s="29" t="s">
        <v>185</v>
      </c>
      <c r="D12" s="30">
        <v>78</v>
      </c>
      <c r="E12" s="30">
        <v>90</v>
      </c>
      <c r="F12" s="30">
        <v>155</v>
      </c>
      <c r="G12" s="31">
        <v>775000</v>
      </c>
    </row>
    <row r="13" spans="1:7">
      <c r="A13" s="29" t="s">
        <v>186</v>
      </c>
      <c r="B13" s="32"/>
      <c r="C13" s="32"/>
      <c r="D13" s="33"/>
      <c r="E13" s="33"/>
      <c r="F13" s="33"/>
      <c r="G13" s="31">
        <v>7725000</v>
      </c>
    </row>
  </sheetData>
  <mergeCells count="1">
    <mergeCell ref="A1:G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1"/>
  <sheetViews>
    <sheetView workbookViewId="0">
      <selection sqref="A1:G1"/>
    </sheetView>
  </sheetViews>
  <sheetFormatPr defaultRowHeight="16.5"/>
  <cols>
    <col min="1" max="1" width="8.875" style="2" customWidth="1"/>
    <col min="2" max="2" width="19.625" style="2" bestFit="1" customWidth="1"/>
    <col min="3" max="3" width="11" style="2" bestFit="1" customWidth="1"/>
    <col min="4" max="5" width="8.5" style="2" customWidth="1"/>
    <col min="6" max="7" width="14.5" style="2" bestFit="1" customWidth="1"/>
    <col min="8" max="9" width="10.125" style="2" customWidth="1"/>
    <col min="10" max="10" width="8.25" style="2" customWidth="1"/>
    <col min="11" max="16384" width="9" style="2"/>
  </cols>
  <sheetData>
    <row r="1" spans="1:7" ht="26.25">
      <c r="A1" s="36" t="s">
        <v>154</v>
      </c>
      <c r="B1" s="36"/>
      <c r="C1" s="36"/>
      <c r="D1" s="36"/>
      <c r="E1" s="36"/>
      <c r="F1" s="36"/>
      <c r="G1" s="36"/>
    </row>
    <row r="3" spans="1:7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>
      <c r="A4" s="1" t="s">
        <v>155</v>
      </c>
      <c r="B4" s="1" t="s">
        <v>156</v>
      </c>
      <c r="C4" s="3">
        <v>65000</v>
      </c>
      <c r="D4" s="1">
        <v>125</v>
      </c>
      <c r="E4" s="20">
        <v>0.2</v>
      </c>
      <c r="F4" s="3">
        <f t="shared" ref="F4:F11" si="0">C4*D4</f>
        <v>8125000</v>
      </c>
      <c r="G4" s="3">
        <f t="shared" ref="G4:G11" si="1">F4-F4*E4</f>
        <v>6500000</v>
      </c>
    </row>
    <row r="5" spans="1:7">
      <c r="A5" s="1" t="s">
        <v>157</v>
      </c>
      <c r="B5" s="1" t="s">
        <v>158</v>
      </c>
      <c r="C5" s="3">
        <v>62000</v>
      </c>
      <c r="D5" s="1">
        <v>78</v>
      </c>
      <c r="E5" s="20">
        <v>0.05</v>
      </c>
      <c r="F5" s="3">
        <f t="shared" si="0"/>
        <v>4836000</v>
      </c>
      <c r="G5" s="3">
        <f t="shared" si="1"/>
        <v>4594200</v>
      </c>
    </row>
    <row r="6" spans="1:7">
      <c r="A6" s="1" t="s">
        <v>159</v>
      </c>
      <c r="B6" s="1" t="s">
        <v>160</v>
      </c>
      <c r="C6" s="3">
        <v>30000</v>
      </c>
      <c r="D6" s="1">
        <v>68</v>
      </c>
      <c r="E6" s="20">
        <v>0.3</v>
      </c>
      <c r="F6" s="3">
        <f t="shared" si="0"/>
        <v>2040000</v>
      </c>
      <c r="G6" s="3">
        <f t="shared" si="1"/>
        <v>1428000</v>
      </c>
    </row>
    <row r="7" spans="1:7">
      <c r="A7" s="1" t="s">
        <v>159</v>
      </c>
      <c r="B7" s="1" t="s">
        <v>161</v>
      </c>
      <c r="C7" s="3">
        <v>80000</v>
      </c>
      <c r="D7" s="1">
        <v>100</v>
      </c>
      <c r="E7" s="20">
        <v>0.3</v>
      </c>
      <c r="F7" s="3">
        <f t="shared" si="0"/>
        <v>8000000</v>
      </c>
      <c r="G7" s="3">
        <f t="shared" si="1"/>
        <v>5600000</v>
      </c>
    </row>
    <row r="8" spans="1:7">
      <c r="A8" s="1" t="s">
        <v>9</v>
      </c>
      <c r="B8" s="1" t="s">
        <v>162</v>
      </c>
      <c r="C8" s="3">
        <v>35000</v>
      </c>
      <c r="D8" s="1">
        <v>93</v>
      </c>
      <c r="E8" s="20">
        <v>0.2</v>
      </c>
      <c r="F8" s="3">
        <f t="shared" si="0"/>
        <v>3255000</v>
      </c>
      <c r="G8" s="3">
        <f t="shared" si="1"/>
        <v>2604000</v>
      </c>
    </row>
    <row r="9" spans="1:7">
      <c r="A9" s="1" t="s">
        <v>163</v>
      </c>
      <c r="B9" s="1" t="s">
        <v>164</v>
      </c>
      <c r="C9" s="3">
        <v>32000</v>
      </c>
      <c r="D9" s="1">
        <v>50</v>
      </c>
      <c r="E9" s="20">
        <v>0.2</v>
      </c>
      <c r="F9" s="3">
        <f t="shared" si="0"/>
        <v>1600000</v>
      </c>
      <c r="G9" s="3">
        <f t="shared" si="1"/>
        <v>1280000</v>
      </c>
    </row>
    <row r="10" spans="1:7">
      <c r="A10" s="1" t="s">
        <v>157</v>
      </c>
      <c r="B10" s="1" t="s">
        <v>165</v>
      </c>
      <c r="C10" s="3">
        <v>60000</v>
      </c>
      <c r="D10" s="1">
        <v>88</v>
      </c>
      <c r="E10" s="20">
        <v>0.05</v>
      </c>
      <c r="F10" s="3">
        <f t="shared" si="0"/>
        <v>5280000</v>
      </c>
      <c r="G10" s="3">
        <f t="shared" si="1"/>
        <v>5016000</v>
      </c>
    </row>
    <row r="11" spans="1:7">
      <c r="A11" s="1" t="s">
        <v>155</v>
      </c>
      <c r="B11" s="1" t="s">
        <v>166</v>
      </c>
      <c r="C11" s="3">
        <v>28000</v>
      </c>
      <c r="D11" s="1">
        <v>110</v>
      </c>
      <c r="E11" s="20">
        <v>0.2</v>
      </c>
      <c r="F11" s="3">
        <f t="shared" si="0"/>
        <v>3080000</v>
      </c>
      <c r="G11" s="3">
        <f t="shared" si="1"/>
        <v>2464000</v>
      </c>
    </row>
  </sheetData>
  <mergeCells count="1">
    <mergeCell ref="A1:G1"/>
  </mergeCells>
  <phoneticPr fontId="2" type="noConversion"/>
  <conditionalFormatting sqref="A4:G11">
    <cfRule type="expression" dxfId="1" priority="1">
      <formula>AND($C4&gt;=60000,$D4&gt;=80)</formula>
    </cfRule>
  </conditionalFormatting>
  <printOptions headings="1" gridLines="1"/>
  <pageMargins left="0.76" right="0.69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3"/>
  <sheetViews>
    <sheetView workbookViewId="0"/>
  </sheetViews>
  <sheetFormatPr defaultRowHeight="16.5"/>
  <cols>
    <col min="1" max="1" width="10.5" style="2" bestFit="1" customWidth="1"/>
    <col min="2" max="2" width="9" style="2"/>
    <col min="3" max="3" width="9.25" style="2" bestFit="1" customWidth="1"/>
    <col min="4" max="4" width="10.75" style="2" customWidth="1"/>
    <col min="5" max="5" width="10.875" style="13" customWidth="1"/>
    <col min="6" max="6" width="11" style="2" customWidth="1"/>
    <col min="7" max="10" width="9" style="2"/>
    <col min="11" max="11" width="9.375" style="2" bestFit="1" customWidth="1"/>
    <col min="12" max="16384" width="9" style="2"/>
  </cols>
  <sheetData>
    <row r="1" spans="1:11">
      <c r="A1" s="2" t="s">
        <v>81</v>
      </c>
      <c r="B1" s="2" t="s">
        <v>82</v>
      </c>
      <c r="G1" s="2" t="s">
        <v>188</v>
      </c>
      <c r="H1" s="2" t="s">
        <v>189</v>
      </c>
    </row>
    <row r="2" spans="1:11">
      <c r="A2" s="1" t="s">
        <v>83</v>
      </c>
      <c r="B2" s="1" t="s">
        <v>84</v>
      </c>
      <c r="C2" s="14" t="s">
        <v>85</v>
      </c>
      <c r="D2" s="15" t="s">
        <v>86</v>
      </c>
      <c r="G2" s="37" t="s">
        <v>87</v>
      </c>
      <c r="H2" s="37"/>
      <c r="I2" s="1" t="s">
        <v>84</v>
      </c>
      <c r="J2" s="1" t="s">
        <v>88</v>
      </c>
      <c r="K2" s="15" t="s">
        <v>89</v>
      </c>
    </row>
    <row r="3" spans="1:11">
      <c r="A3" s="1" t="s">
        <v>90</v>
      </c>
      <c r="B3" s="1" t="s">
        <v>91</v>
      </c>
      <c r="C3" s="1">
        <v>12</v>
      </c>
      <c r="D3" s="1" t="str">
        <f>IF(_xlfn.RANK.EQ(C3,$C$3:$C$10,0)&lt;=3,"A",IF(_xlfn.RANK.EQ(C3,$C$3:$C$10,0)&lt;=6,"B","C"))</f>
        <v>B</v>
      </c>
      <c r="G3" s="37" t="s">
        <v>190</v>
      </c>
      <c r="H3" s="37"/>
      <c r="I3" s="1" t="s">
        <v>92</v>
      </c>
      <c r="J3" s="1" t="s">
        <v>93</v>
      </c>
      <c r="K3" s="1" t="str">
        <f>CHOOSE(MOD(MID(G3,8,1),5),"남자","여자","남자","여자")</f>
        <v>여자</v>
      </c>
    </row>
    <row r="4" spans="1:11">
      <c r="A4" s="1" t="s">
        <v>94</v>
      </c>
      <c r="B4" s="1" t="s">
        <v>95</v>
      </c>
      <c r="C4" s="1">
        <v>13</v>
      </c>
      <c r="D4" s="1" t="str">
        <f t="shared" ref="D4:D10" si="0">IF(_xlfn.RANK.EQ(C4,$C$3:$C$10,0)&lt;=3,"A",IF(_xlfn.RANK.EQ(C4,$C$3:$C$10,0)&lt;=6,"B","C"))</f>
        <v>A</v>
      </c>
      <c r="G4" s="37" t="s">
        <v>201</v>
      </c>
      <c r="H4" s="37"/>
      <c r="I4" s="1" t="s">
        <v>96</v>
      </c>
      <c r="J4" s="1" t="s">
        <v>97</v>
      </c>
      <c r="K4" s="1" t="str">
        <f t="shared" ref="K4:K10" si="1">CHOOSE(MOD(MID(G4,8,1),5),"남자","여자","남자","여자")</f>
        <v>남자</v>
      </c>
    </row>
    <row r="5" spans="1:11">
      <c r="A5" s="1" t="s">
        <v>98</v>
      </c>
      <c r="B5" s="1" t="s">
        <v>99</v>
      </c>
      <c r="C5" s="1">
        <v>14</v>
      </c>
      <c r="D5" s="1" t="str">
        <f t="shared" si="0"/>
        <v>A</v>
      </c>
      <c r="G5" s="37" t="s">
        <v>100</v>
      </c>
      <c r="H5" s="37"/>
      <c r="I5" s="1" t="s">
        <v>101</v>
      </c>
      <c r="J5" s="1" t="s">
        <v>93</v>
      </c>
      <c r="K5" s="1" t="str">
        <f t="shared" si="1"/>
        <v>여자</v>
      </c>
    </row>
    <row r="6" spans="1:11">
      <c r="A6" s="1" t="s">
        <v>98</v>
      </c>
      <c r="B6" s="1" t="s">
        <v>102</v>
      </c>
      <c r="C6" s="1">
        <v>5</v>
      </c>
      <c r="D6" s="1" t="str">
        <f t="shared" si="0"/>
        <v>C</v>
      </c>
      <c r="G6" s="37" t="s">
        <v>103</v>
      </c>
      <c r="H6" s="37"/>
      <c r="I6" s="1" t="s">
        <v>104</v>
      </c>
      <c r="J6" s="1" t="s">
        <v>105</v>
      </c>
      <c r="K6" s="1" t="str">
        <f t="shared" si="1"/>
        <v>남자</v>
      </c>
    </row>
    <row r="7" spans="1:11">
      <c r="A7" s="1" t="s">
        <v>94</v>
      </c>
      <c r="B7" s="1" t="s">
        <v>106</v>
      </c>
      <c r="C7" s="1">
        <v>7</v>
      </c>
      <c r="D7" s="1" t="str">
        <f t="shared" si="0"/>
        <v>C</v>
      </c>
      <c r="G7" s="37" t="s">
        <v>107</v>
      </c>
      <c r="H7" s="37"/>
      <c r="I7" s="1" t="s">
        <v>108</v>
      </c>
      <c r="J7" s="1" t="s">
        <v>105</v>
      </c>
      <c r="K7" s="1" t="str">
        <f t="shared" si="1"/>
        <v>남자</v>
      </c>
    </row>
    <row r="8" spans="1:11">
      <c r="A8" s="1" t="s">
        <v>94</v>
      </c>
      <c r="B8" s="1" t="s">
        <v>109</v>
      </c>
      <c r="C8" s="1">
        <v>10</v>
      </c>
      <c r="D8" s="1" t="str">
        <f t="shared" si="0"/>
        <v>B</v>
      </c>
      <c r="G8" s="37" t="s">
        <v>110</v>
      </c>
      <c r="H8" s="37"/>
      <c r="I8" s="1" t="s">
        <v>111</v>
      </c>
      <c r="J8" s="1" t="s">
        <v>97</v>
      </c>
      <c r="K8" s="1" t="str">
        <f t="shared" si="1"/>
        <v>남자</v>
      </c>
    </row>
    <row r="9" spans="1:11">
      <c r="A9" s="1" t="s">
        <v>90</v>
      </c>
      <c r="B9" s="1" t="s">
        <v>112</v>
      </c>
      <c r="C9" s="1">
        <v>15</v>
      </c>
      <c r="D9" s="1" t="str">
        <f t="shared" si="0"/>
        <v>A</v>
      </c>
      <c r="G9" s="37" t="s">
        <v>113</v>
      </c>
      <c r="H9" s="37"/>
      <c r="I9" s="1" t="s">
        <v>114</v>
      </c>
      <c r="J9" s="1" t="s">
        <v>93</v>
      </c>
      <c r="K9" s="1" t="str">
        <f t="shared" si="1"/>
        <v>여자</v>
      </c>
    </row>
    <row r="10" spans="1:11">
      <c r="A10" s="1" t="s">
        <v>98</v>
      </c>
      <c r="B10" s="1" t="s">
        <v>115</v>
      </c>
      <c r="C10" s="1">
        <v>9</v>
      </c>
      <c r="D10" s="1" t="str">
        <f t="shared" si="0"/>
        <v>B</v>
      </c>
      <c r="F10" s="13"/>
      <c r="G10" s="37" t="s">
        <v>116</v>
      </c>
      <c r="H10" s="37"/>
      <c r="I10" s="1" t="s">
        <v>117</v>
      </c>
      <c r="J10" s="1" t="s">
        <v>97</v>
      </c>
      <c r="K10" s="1" t="str">
        <f t="shared" si="1"/>
        <v>여자</v>
      </c>
    </row>
    <row r="12" spans="1:11">
      <c r="A12" s="16" t="s">
        <v>191</v>
      </c>
      <c r="B12" s="16" t="s">
        <v>118</v>
      </c>
      <c r="G12" s="16" t="s">
        <v>192</v>
      </c>
      <c r="H12" s="2" t="s">
        <v>193</v>
      </c>
    </row>
    <row r="13" spans="1:11">
      <c r="A13" s="1" t="s">
        <v>119</v>
      </c>
      <c r="B13" s="1" t="s">
        <v>120</v>
      </c>
      <c r="C13" s="1" t="s">
        <v>121</v>
      </c>
      <c r="D13" s="1" t="s">
        <v>122</v>
      </c>
      <c r="E13" s="15" t="s">
        <v>123</v>
      </c>
      <c r="G13" s="1" t="s">
        <v>124</v>
      </c>
      <c r="H13" s="1" t="s">
        <v>125</v>
      </c>
      <c r="I13" s="1" t="s">
        <v>126</v>
      </c>
      <c r="J13" s="1" t="s">
        <v>127</v>
      </c>
      <c r="K13" s="1" t="s">
        <v>122</v>
      </c>
    </row>
    <row r="14" spans="1:11">
      <c r="A14" s="1" t="s">
        <v>128</v>
      </c>
      <c r="B14" s="3">
        <v>2550</v>
      </c>
      <c r="C14" s="1">
        <v>55</v>
      </c>
      <c r="D14" s="17">
        <f>B14*C14</f>
        <v>140250</v>
      </c>
      <c r="E14" s="24">
        <f>D14*HLOOKUP(C14,$B$21:$D$22,2,TRUE)</f>
        <v>4207.5</v>
      </c>
      <c r="G14" s="1" t="s">
        <v>194</v>
      </c>
      <c r="H14" s="1" t="s">
        <v>129</v>
      </c>
      <c r="I14" s="22">
        <v>6000</v>
      </c>
      <c r="J14" s="1">
        <v>67</v>
      </c>
      <c r="K14" s="23">
        <f>I14*J14</f>
        <v>402000</v>
      </c>
    </row>
    <row r="15" spans="1:11">
      <c r="A15" s="1" t="s">
        <v>130</v>
      </c>
      <c r="B15" s="3">
        <v>12350</v>
      </c>
      <c r="C15" s="1">
        <v>38</v>
      </c>
      <c r="D15" s="17">
        <f>B15*C15</f>
        <v>469300</v>
      </c>
      <c r="E15" s="25">
        <f t="shared" ref="E15:E18" si="2">D15*HLOOKUP(C15,$B$21:$D$22,2,TRUE)</f>
        <v>0</v>
      </c>
      <c r="G15" s="1" t="s">
        <v>131</v>
      </c>
      <c r="H15" s="1" t="s">
        <v>132</v>
      </c>
      <c r="I15" s="22">
        <v>8000</v>
      </c>
      <c r="J15" s="1">
        <v>98</v>
      </c>
      <c r="K15" s="23">
        <f t="shared" ref="K15:K22" si="3">I15*J15</f>
        <v>784000</v>
      </c>
    </row>
    <row r="16" spans="1:11">
      <c r="A16" s="1" t="s">
        <v>133</v>
      </c>
      <c r="B16" s="3">
        <v>3450</v>
      </c>
      <c r="C16" s="1">
        <v>60</v>
      </c>
      <c r="D16" s="17">
        <f>B16*C16</f>
        <v>207000</v>
      </c>
      <c r="E16" s="25">
        <f t="shared" si="2"/>
        <v>6210</v>
      </c>
      <c r="G16" s="1" t="s">
        <v>134</v>
      </c>
      <c r="H16" s="1" t="s">
        <v>135</v>
      </c>
      <c r="I16" s="22">
        <v>6000</v>
      </c>
      <c r="J16" s="1">
        <v>80</v>
      </c>
      <c r="K16" s="23">
        <f t="shared" si="3"/>
        <v>480000</v>
      </c>
    </row>
    <row r="17" spans="1:11">
      <c r="A17" s="1" t="s">
        <v>136</v>
      </c>
      <c r="B17" s="3">
        <v>765</v>
      </c>
      <c r="C17" s="1">
        <v>100</v>
      </c>
      <c r="D17" s="17">
        <f>B17*C17</f>
        <v>76500</v>
      </c>
      <c r="E17" s="25">
        <f t="shared" si="2"/>
        <v>4590</v>
      </c>
      <c r="G17" s="1" t="s">
        <v>137</v>
      </c>
      <c r="H17" s="1" t="s">
        <v>135</v>
      </c>
      <c r="I17" s="22">
        <v>5000</v>
      </c>
      <c r="J17" s="1">
        <v>78</v>
      </c>
      <c r="K17" s="23">
        <f t="shared" si="3"/>
        <v>390000</v>
      </c>
    </row>
    <row r="18" spans="1:11">
      <c r="A18" s="1" t="s">
        <v>138</v>
      </c>
      <c r="B18" s="3">
        <v>7650</v>
      </c>
      <c r="C18" s="1">
        <v>77</v>
      </c>
      <c r="D18" s="17">
        <f>B18*C18</f>
        <v>589050</v>
      </c>
      <c r="E18" s="25">
        <f t="shared" si="2"/>
        <v>35343</v>
      </c>
      <c r="G18" s="1" t="s">
        <v>137</v>
      </c>
      <c r="H18" s="1" t="s">
        <v>132</v>
      </c>
      <c r="I18" s="22">
        <v>5000</v>
      </c>
      <c r="J18" s="1">
        <v>87</v>
      </c>
      <c r="K18" s="23">
        <f t="shared" si="3"/>
        <v>435000</v>
      </c>
    </row>
    <row r="19" spans="1:11">
      <c r="E19" s="2"/>
      <c r="G19" s="1" t="s">
        <v>134</v>
      </c>
      <c r="H19" s="1" t="s">
        <v>132</v>
      </c>
      <c r="I19" s="22">
        <v>6000</v>
      </c>
      <c r="J19" s="1">
        <v>78</v>
      </c>
      <c r="K19" s="23">
        <f t="shared" si="3"/>
        <v>468000</v>
      </c>
    </row>
    <row r="20" spans="1:11">
      <c r="A20" s="38" t="s">
        <v>139</v>
      </c>
      <c r="B20" s="38"/>
      <c r="C20" s="38"/>
      <c r="D20" s="38"/>
      <c r="G20" s="1" t="s">
        <v>131</v>
      </c>
      <c r="H20" s="1" t="s">
        <v>129</v>
      </c>
      <c r="I20" s="22">
        <v>8000</v>
      </c>
      <c r="J20" s="1">
        <v>98</v>
      </c>
      <c r="K20" s="23">
        <f t="shared" si="3"/>
        <v>784000</v>
      </c>
    </row>
    <row r="21" spans="1:11">
      <c r="A21" s="1" t="s">
        <v>121</v>
      </c>
      <c r="B21" s="1">
        <v>1</v>
      </c>
      <c r="C21" s="1">
        <v>40</v>
      </c>
      <c r="D21" s="1">
        <v>70</v>
      </c>
      <c r="E21" s="2"/>
      <c r="G21" s="1" t="s">
        <v>131</v>
      </c>
      <c r="H21" s="1" t="s">
        <v>135</v>
      </c>
      <c r="I21" s="22">
        <v>8000</v>
      </c>
      <c r="J21" s="1">
        <v>89</v>
      </c>
      <c r="K21" s="23">
        <f t="shared" si="3"/>
        <v>712000</v>
      </c>
    </row>
    <row r="22" spans="1:11">
      <c r="A22" s="1" t="s">
        <v>140</v>
      </c>
      <c r="B22" s="18">
        <v>0</v>
      </c>
      <c r="C22" s="18">
        <v>0.03</v>
      </c>
      <c r="D22" s="18">
        <v>0.06</v>
      </c>
      <c r="E22" s="2"/>
      <c r="G22" s="1" t="s">
        <v>137</v>
      </c>
      <c r="H22" s="1" t="s">
        <v>129</v>
      </c>
      <c r="I22" s="22">
        <v>5000</v>
      </c>
      <c r="J22" s="1">
        <v>97</v>
      </c>
      <c r="K22" s="23">
        <f t="shared" si="3"/>
        <v>485000</v>
      </c>
    </row>
    <row r="23" spans="1:11">
      <c r="E23" s="2"/>
      <c r="H23" s="19" t="s">
        <v>141</v>
      </c>
    </row>
    <row r="24" spans="1:11">
      <c r="A24" s="16" t="s">
        <v>142</v>
      </c>
      <c r="B24" s="16" t="s">
        <v>143</v>
      </c>
      <c r="C24" s="13"/>
      <c r="D24" s="13"/>
      <c r="H24" s="14">
        <f>ROUNDUP(DAVERAGE(G13:K22,K13,H13:H14),-4 )</f>
        <v>560000</v>
      </c>
    </row>
    <row r="25" spans="1:11">
      <c r="A25" s="1" t="s">
        <v>84</v>
      </c>
      <c r="B25" s="1" t="s">
        <v>97</v>
      </c>
      <c r="C25" s="1" t="s">
        <v>93</v>
      </c>
      <c r="D25" s="1" t="s">
        <v>105</v>
      </c>
      <c r="E25" s="1" t="s">
        <v>144</v>
      </c>
      <c r="F25" s="15" t="s">
        <v>145</v>
      </c>
    </row>
    <row r="26" spans="1:11">
      <c r="A26" s="1" t="s">
        <v>146</v>
      </c>
      <c r="B26" s="1">
        <v>78</v>
      </c>
      <c r="C26" s="1">
        <v>65</v>
      </c>
      <c r="D26" s="1">
        <v>64</v>
      </c>
      <c r="E26" s="1">
        <f>AVERAGE(B26:D26)</f>
        <v>69</v>
      </c>
      <c r="F26" s="1" t="str">
        <f>IF(AND(COUNTIF(B26:D26,"&gt;=50")=3,E26&gt;=60),"합격","불합격")</f>
        <v>합격</v>
      </c>
    </row>
    <row r="27" spans="1:11">
      <c r="A27" s="1" t="s">
        <v>147</v>
      </c>
      <c r="B27" s="1">
        <v>49</v>
      </c>
      <c r="C27" s="1">
        <v>50</v>
      </c>
      <c r="D27" s="1">
        <v>57</v>
      </c>
      <c r="E27" s="1">
        <f t="shared" ref="E27:E33" si="4">AVERAGE(B27:D27)</f>
        <v>52</v>
      </c>
      <c r="F27" s="1" t="str">
        <f t="shared" ref="F27:F33" si="5">IF(AND(COUNTIF(B27:D27,"&gt;=50")=3,E27&gt;=60),"합격","불합격")</f>
        <v>불합격</v>
      </c>
    </row>
    <row r="28" spans="1:11">
      <c r="A28" s="1" t="s">
        <v>148</v>
      </c>
      <c r="B28" s="1">
        <v>66</v>
      </c>
      <c r="C28" s="1">
        <v>54</v>
      </c>
      <c r="D28" s="1">
        <v>87</v>
      </c>
      <c r="E28" s="1">
        <f t="shared" si="4"/>
        <v>69</v>
      </c>
      <c r="F28" s="1" t="str">
        <f t="shared" si="5"/>
        <v>합격</v>
      </c>
    </row>
    <row r="29" spans="1:11">
      <c r="A29" s="1" t="s">
        <v>149</v>
      </c>
      <c r="B29" s="1">
        <v>48</v>
      </c>
      <c r="C29" s="1">
        <v>70</v>
      </c>
      <c r="D29" s="1">
        <v>74</v>
      </c>
      <c r="E29" s="1">
        <f t="shared" si="4"/>
        <v>64</v>
      </c>
      <c r="F29" s="1" t="str">
        <f t="shared" si="5"/>
        <v>불합격</v>
      </c>
    </row>
    <row r="30" spans="1:11">
      <c r="A30" s="1" t="s">
        <v>150</v>
      </c>
      <c r="B30" s="1">
        <v>80</v>
      </c>
      <c r="C30" s="1">
        <v>60</v>
      </c>
      <c r="D30" s="1">
        <v>70</v>
      </c>
      <c r="E30" s="1">
        <f t="shared" si="4"/>
        <v>70</v>
      </c>
      <c r="F30" s="1" t="str">
        <f t="shared" si="5"/>
        <v>합격</v>
      </c>
    </row>
    <row r="31" spans="1:11">
      <c r="A31" s="1" t="s">
        <v>151</v>
      </c>
      <c r="B31" s="1">
        <v>50</v>
      </c>
      <c r="C31" s="1">
        <v>58</v>
      </c>
      <c r="D31" s="1">
        <v>48</v>
      </c>
      <c r="E31" s="1">
        <f t="shared" si="4"/>
        <v>52</v>
      </c>
      <c r="F31" s="1" t="str">
        <f t="shared" si="5"/>
        <v>불합격</v>
      </c>
    </row>
    <row r="32" spans="1:11">
      <c r="A32" s="1" t="s">
        <v>152</v>
      </c>
      <c r="B32" s="1">
        <v>89</v>
      </c>
      <c r="C32" s="1">
        <v>75</v>
      </c>
      <c r="D32" s="1">
        <v>55</v>
      </c>
      <c r="E32" s="1">
        <f t="shared" si="4"/>
        <v>73</v>
      </c>
      <c r="F32" s="1" t="str">
        <f t="shared" si="5"/>
        <v>합격</v>
      </c>
    </row>
    <row r="33" spans="1:6">
      <c r="A33" s="1" t="s">
        <v>153</v>
      </c>
      <c r="B33" s="1">
        <v>78</v>
      </c>
      <c r="C33" s="1">
        <v>69</v>
      </c>
      <c r="D33" s="1">
        <v>39</v>
      </c>
      <c r="E33" s="1">
        <f t="shared" si="4"/>
        <v>62</v>
      </c>
      <c r="F33" s="1" t="str">
        <f t="shared" si="5"/>
        <v>불합격</v>
      </c>
    </row>
  </sheetData>
  <mergeCells count="10">
    <mergeCell ref="G8:H8"/>
    <mergeCell ref="G9:H9"/>
    <mergeCell ref="G10:H10"/>
    <mergeCell ref="A20:D20"/>
    <mergeCell ref="G2:H2"/>
    <mergeCell ref="G3:H3"/>
    <mergeCell ref="G4:H4"/>
    <mergeCell ref="G5:H5"/>
    <mergeCell ref="G6:H6"/>
    <mergeCell ref="G7:H7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39"/>
  <sheetViews>
    <sheetView workbookViewId="0">
      <selection sqref="A1:F1"/>
    </sheetView>
  </sheetViews>
  <sheetFormatPr defaultRowHeight="16.5"/>
  <cols>
    <col min="1" max="1" width="13" style="2" customWidth="1"/>
    <col min="2" max="2" width="15.25" style="2" customWidth="1"/>
    <col min="3" max="3" width="14.5" style="2" customWidth="1"/>
    <col min="4" max="4" width="11.125" style="2" bestFit="1" customWidth="1"/>
    <col min="5" max="5" width="14.25" style="2" bestFit="1" customWidth="1"/>
    <col min="6" max="6" width="13" style="2" bestFit="1" customWidth="1"/>
    <col min="7" max="11" width="9" style="2"/>
    <col min="12" max="12" width="11.875" style="2" customWidth="1"/>
    <col min="13" max="16384" width="9" style="2"/>
  </cols>
  <sheetData>
    <row r="1" spans="1:6" ht="26.25">
      <c r="A1" s="39" t="s">
        <v>72</v>
      </c>
      <c r="B1" s="39"/>
      <c r="C1" s="39"/>
      <c r="D1" s="39"/>
      <c r="E1" s="39"/>
      <c r="F1" s="39"/>
    </row>
    <row r="2" spans="1:6">
      <c r="A2" s="1" t="s">
        <v>10</v>
      </c>
      <c r="B2" s="1" t="s">
        <v>11</v>
      </c>
      <c r="C2" s="1" t="s">
        <v>5</v>
      </c>
      <c r="D2" s="1" t="s">
        <v>12</v>
      </c>
      <c r="E2" s="1" t="s">
        <v>13</v>
      </c>
      <c r="F2" s="1" t="s">
        <v>14</v>
      </c>
    </row>
    <row r="3" spans="1:6">
      <c r="A3" s="1" t="s">
        <v>73</v>
      </c>
      <c r="B3" s="1" t="s">
        <v>15</v>
      </c>
      <c r="C3" s="9">
        <v>156</v>
      </c>
      <c r="D3" s="3">
        <v>135000</v>
      </c>
      <c r="E3" s="10">
        <f>D3*C3</f>
        <v>21060000</v>
      </c>
      <c r="F3" s="11">
        <f>E3*10%</f>
        <v>2106000</v>
      </c>
    </row>
    <row r="4" spans="1:6">
      <c r="A4" s="1" t="s">
        <v>74</v>
      </c>
      <c r="B4" s="1" t="s">
        <v>15</v>
      </c>
      <c r="C4" s="9">
        <v>44</v>
      </c>
      <c r="D4" s="3">
        <v>135000</v>
      </c>
      <c r="E4" s="10">
        <f t="shared" ref="E4:E17" si="0">D4*C4</f>
        <v>5940000</v>
      </c>
      <c r="F4" s="11">
        <f t="shared" ref="F4:F17" si="1">E4*10%</f>
        <v>594000</v>
      </c>
    </row>
    <row r="5" spans="1:6">
      <c r="A5" s="1" t="s">
        <v>75</v>
      </c>
      <c r="B5" s="1" t="s">
        <v>15</v>
      </c>
      <c r="C5" s="9">
        <v>142</v>
      </c>
      <c r="D5" s="3">
        <v>135000</v>
      </c>
      <c r="E5" s="10">
        <f t="shared" si="0"/>
        <v>19170000</v>
      </c>
      <c r="F5" s="11">
        <f t="shared" si="1"/>
        <v>1917000</v>
      </c>
    </row>
    <row r="6" spans="1:6">
      <c r="A6" s="1" t="s">
        <v>76</v>
      </c>
      <c r="B6" s="1" t="s">
        <v>15</v>
      </c>
      <c r="C6" s="9">
        <v>55</v>
      </c>
      <c r="D6" s="3">
        <v>135000</v>
      </c>
      <c r="E6" s="10">
        <f t="shared" si="0"/>
        <v>7425000</v>
      </c>
      <c r="F6" s="11">
        <f t="shared" si="1"/>
        <v>742500</v>
      </c>
    </row>
    <row r="7" spans="1:6">
      <c r="A7" s="1" t="s">
        <v>77</v>
      </c>
      <c r="B7" s="1" t="s">
        <v>15</v>
      </c>
      <c r="C7" s="9">
        <v>345</v>
      </c>
      <c r="D7" s="3">
        <v>135000</v>
      </c>
      <c r="E7" s="10">
        <f t="shared" si="0"/>
        <v>46575000</v>
      </c>
      <c r="F7" s="11">
        <f t="shared" si="1"/>
        <v>4657500</v>
      </c>
    </row>
    <row r="8" spans="1:6">
      <c r="A8" s="1" t="s">
        <v>78</v>
      </c>
      <c r="B8" s="1" t="s">
        <v>79</v>
      </c>
      <c r="C8" s="9">
        <v>100</v>
      </c>
      <c r="D8" s="3">
        <v>225000</v>
      </c>
      <c r="E8" s="10">
        <f t="shared" si="0"/>
        <v>22500000</v>
      </c>
      <c r="F8" s="11">
        <f t="shared" si="1"/>
        <v>2250000</v>
      </c>
    </row>
    <row r="9" spans="1:6">
      <c r="A9" s="1" t="s">
        <v>74</v>
      </c>
      <c r="B9" s="1" t="s">
        <v>79</v>
      </c>
      <c r="C9" s="9">
        <v>43</v>
      </c>
      <c r="D9" s="3">
        <v>225000</v>
      </c>
      <c r="E9" s="10">
        <f t="shared" si="0"/>
        <v>9675000</v>
      </c>
      <c r="F9" s="11">
        <f t="shared" si="1"/>
        <v>967500</v>
      </c>
    </row>
    <row r="10" spans="1:6">
      <c r="A10" s="1" t="s">
        <v>75</v>
      </c>
      <c r="B10" s="1" t="s">
        <v>79</v>
      </c>
      <c r="C10" s="9">
        <v>22</v>
      </c>
      <c r="D10" s="3">
        <v>225000</v>
      </c>
      <c r="E10" s="10">
        <f t="shared" si="0"/>
        <v>4950000</v>
      </c>
      <c r="F10" s="11">
        <f t="shared" si="1"/>
        <v>495000</v>
      </c>
    </row>
    <row r="11" spans="1:6">
      <c r="A11" s="1" t="s">
        <v>76</v>
      </c>
      <c r="B11" s="1" t="s">
        <v>79</v>
      </c>
      <c r="C11" s="9">
        <v>111</v>
      </c>
      <c r="D11" s="3">
        <v>225000</v>
      </c>
      <c r="E11" s="10">
        <f t="shared" si="0"/>
        <v>24975000</v>
      </c>
      <c r="F11" s="11">
        <f t="shared" si="1"/>
        <v>2497500</v>
      </c>
    </row>
    <row r="12" spans="1:6">
      <c r="A12" s="1" t="s">
        <v>77</v>
      </c>
      <c r="B12" s="1" t="s">
        <v>79</v>
      </c>
      <c r="C12" s="9">
        <v>200</v>
      </c>
      <c r="D12" s="3">
        <v>225000</v>
      </c>
      <c r="E12" s="10">
        <f t="shared" si="0"/>
        <v>45000000</v>
      </c>
      <c r="F12" s="11">
        <f t="shared" si="1"/>
        <v>4500000</v>
      </c>
    </row>
    <row r="13" spans="1:6">
      <c r="A13" s="1" t="s">
        <v>78</v>
      </c>
      <c r="B13" s="1" t="s">
        <v>80</v>
      </c>
      <c r="C13" s="12">
        <v>112</v>
      </c>
      <c r="D13" s="10">
        <v>155000</v>
      </c>
      <c r="E13" s="10">
        <f t="shared" si="0"/>
        <v>17360000</v>
      </c>
      <c r="F13" s="11">
        <f t="shared" si="1"/>
        <v>1736000</v>
      </c>
    </row>
    <row r="14" spans="1:6">
      <c r="A14" s="1" t="s">
        <v>74</v>
      </c>
      <c r="B14" s="1" t="s">
        <v>80</v>
      </c>
      <c r="C14" s="9">
        <v>18</v>
      </c>
      <c r="D14" s="10">
        <v>155000</v>
      </c>
      <c r="E14" s="10">
        <f t="shared" si="0"/>
        <v>2790000</v>
      </c>
      <c r="F14" s="11">
        <f t="shared" si="1"/>
        <v>279000</v>
      </c>
    </row>
    <row r="15" spans="1:6">
      <c r="A15" s="1" t="s">
        <v>75</v>
      </c>
      <c r="B15" s="1" t="s">
        <v>80</v>
      </c>
      <c r="C15" s="9">
        <v>100</v>
      </c>
      <c r="D15" s="10">
        <v>155000</v>
      </c>
      <c r="E15" s="10">
        <f t="shared" si="0"/>
        <v>15500000</v>
      </c>
      <c r="F15" s="11">
        <f t="shared" si="1"/>
        <v>1550000</v>
      </c>
    </row>
    <row r="16" spans="1:6">
      <c r="A16" s="1" t="s">
        <v>76</v>
      </c>
      <c r="B16" s="1" t="s">
        <v>80</v>
      </c>
      <c r="C16" s="9">
        <v>13</v>
      </c>
      <c r="D16" s="10">
        <v>155000</v>
      </c>
      <c r="E16" s="10">
        <f t="shared" si="0"/>
        <v>2015000</v>
      </c>
      <c r="F16" s="11">
        <f t="shared" si="1"/>
        <v>201500</v>
      </c>
    </row>
    <row r="17" spans="1:6">
      <c r="A17" s="1" t="s">
        <v>77</v>
      </c>
      <c r="B17" s="1" t="s">
        <v>80</v>
      </c>
      <c r="C17" s="9">
        <v>23</v>
      </c>
      <c r="D17" s="10">
        <v>155000</v>
      </c>
      <c r="E17" s="10">
        <f t="shared" si="0"/>
        <v>3565000</v>
      </c>
      <c r="F17" s="11">
        <f t="shared" si="1"/>
        <v>356500</v>
      </c>
    </row>
    <row r="20" spans="1:6">
      <c r="A20" s="26" t="s">
        <v>11</v>
      </c>
      <c r="B20" t="s">
        <v>239</v>
      </c>
    </row>
    <row r="22" spans="1:6">
      <c r="A22" s="26" t="s">
        <v>240</v>
      </c>
      <c r="B22" t="s">
        <v>247</v>
      </c>
      <c r="C22" t="s">
        <v>248</v>
      </c>
    </row>
    <row r="23" spans="1:6">
      <c r="A23" s="27" t="s">
        <v>241</v>
      </c>
      <c r="B23" s="28">
        <v>20306666.666666668</v>
      </c>
      <c r="C23" s="28">
        <v>2030666.6666666667</v>
      </c>
    </row>
    <row r="24" spans="1:6">
      <c r="A24" s="27" t="s">
        <v>242</v>
      </c>
      <c r="B24" s="28">
        <v>6135000</v>
      </c>
      <c r="C24" s="28">
        <v>613500</v>
      </c>
    </row>
    <row r="25" spans="1:6">
      <c r="A25" s="27" t="s">
        <v>243</v>
      </c>
      <c r="B25" s="28">
        <v>13206666.666666666</v>
      </c>
      <c r="C25" s="28">
        <v>1320666.6666666667</v>
      </c>
    </row>
    <row r="26" spans="1:6">
      <c r="A26" s="27" t="s">
        <v>244</v>
      </c>
      <c r="B26" s="28">
        <v>11471666.666666666</v>
      </c>
      <c r="C26" s="28">
        <v>1147166.6666666667</v>
      </c>
    </row>
    <row r="27" spans="1:6">
      <c r="A27" s="27" t="s">
        <v>245</v>
      </c>
      <c r="B27" s="28">
        <v>31713333.333333332</v>
      </c>
      <c r="C27" s="28">
        <v>3171333.3333333335</v>
      </c>
    </row>
    <row r="28" spans="1:6">
      <c r="A28" s="27" t="s">
        <v>246</v>
      </c>
      <c r="B28" s="28">
        <v>16566666.666666666</v>
      </c>
      <c r="C28" s="28">
        <v>1656666.6666666667</v>
      </c>
    </row>
    <row r="29" spans="1:6">
      <c r="A29"/>
      <c r="B29"/>
      <c r="C29"/>
    </row>
    <row r="30" spans="1:6">
      <c r="A30"/>
      <c r="B30"/>
      <c r="C30"/>
    </row>
    <row r="31" spans="1:6">
      <c r="A31"/>
      <c r="B31"/>
      <c r="C31"/>
    </row>
    <row r="32" spans="1:6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</sheetData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2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/>
  <cols>
    <col min="1" max="3" width="9" style="2"/>
    <col min="4" max="4" width="13" style="2" bestFit="1" customWidth="1"/>
    <col min="5" max="5" width="9" style="2"/>
    <col min="6" max="6" width="14.25" style="2" bestFit="1" customWidth="1"/>
    <col min="7" max="16384" width="9" style="2"/>
  </cols>
  <sheetData>
    <row r="1" spans="1:6" ht="18.75">
      <c r="A1" s="40" t="s">
        <v>16</v>
      </c>
      <c r="B1" s="40"/>
      <c r="C1" s="40"/>
      <c r="D1" s="40"/>
      <c r="E1" s="40"/>
      <c r="F1" s="40"/>
    </row>
    <row r="3" spans="1:6">
      <c r="A3" s="1" t="s">
        <v>42</v>
      </c>
      <c r="B3" s="1" t="s">
        <v>43</v>
      </c>
      <c r="C3" s="1" t="s">
        <v>44</v>
      </c>
      <c r="D3" s="1" t="s">
        <v>45</v>
      </c>
      <c r="E3" s="1" t="s">
        <v>46</v>
      </c>
      <c r="F3" s="1" t="s">
        <v>47</v>
      </c>
    </row>
    <row r="4" spans="1:6">
      <c r="A4" s="1" t="s">
        <v>48</v>
      </c>
      <c r="B4" s="1" t="s">
        <v>49</v>
      </c>
      <c r="C4" s="1" t="s">
        <v>50</v>
      </c>
      <c r="D4" s="7">
        <v>45000</v>
      </c>
      <c r="E4" s="7">
        <v>50</v>
      </c>
      <c r="F4" s="8">
        <f>D4*E4</f>
        <v>2250000</v>
      </c>
    </row>
    <row r="5" spans="1:6">
      <c r="A5" s="1" t="s">
        <v>51</v>
      </c>
      <c r="B5" s="1" t="s">
        <v>52</v>
      </c>
      <c r="C5" s="1" t="s">
        <v>53</v>
      </c>
      <c r="D5" s="7">
        <v>150000</v>
      </c>
      <c r="E5" s="7">
        <v>10</v>
      </c>
      <c r="F5" s="8">
        <f t="shared" ref="F5:F14" si="0">D5*E5</f>
        <v>1500000</v>
      </c>
    </row>
    <row r="6" spans="1:6">
      <c r="A6" s="1" t="s">
        <v>48</v>
      </c>
      <c r="B6" s="1" t="s">
        <v>54</v>
      </c>
      <c r="C6" s="1" t="s">
        <v>55</v>
      </c>
      <c r="D6" s="7">
        <v>65000</v>
      </c>
      <c r="E6" s="7">
        <v>120</v>
      </c>
      <c r="F6" s="8">
        <f t="shared" si="0"/>
        <v>7800000</v>
      </c>
    </row>
    <row r="7" spans="1:6">
      <c r="A7" s="1" t="s">
        <v>51</v>
      </c>
      <c r="B7" s="1" t="s">
        <v>56</v>
      </c>
      <c r="C7" s="1" t="s">
        <v>57</v>
      </c>
      <c r="D7" s="7">
        <v>260000</v>
      </c>
      <c r="E7" s="7">
        <v>27</v>
      </c>
      <c r="F7" s="8">
        <f t="shared" si="0"/>
        <v>7020000</v>
      </c>
    </row>
    <row r="8" spans="1:6">
      <c r="A8" s="1" t="s">
        <v>58</v>
      </c>
      <c r="B8" s="1" t="s">
        <v>59</v>
      </c>
      <c r="C8" s="1" t="s">
        <v>60</v>
      </c>
      <c r="D8" s="7">
        <v>2500000</v>
      </c>
      <c r="E8" s="7">
        <v>5</v>
      </c>
      <c r="F8" s="8">
        <f t="shared" si="0"/>
        <v>12500000</v>
      </c>
    </row>
    <row r="9" spans="1:6">
      <c r="A9" s="1" t="s">
        <v>58</v>
      </c>
      <c r="B9" s="1" t="s">
        <v>61</v>
      </c>
      <c r="C9" s="1" t="s">
        <v>62</v>
      </c>
      <c r="D9" s="7">
        <v>580000</v>
      </c>
      <c r="E9" s="7">
        <v>13</v>
      </c>
      <c r="F9" s="8">
        <f t="shared" si="0"/>
        <v>7540000</v>
      </c>
    </row>
    <row r="10" spans="1:6">
      <c r="A10" s="1" t="s">
        <v>48</v>
      </c>
      <c r="B10" s="1" t="s">
        <v>63</v>
      </c>
      <c r="C10" s="1" t="s">
        <v>64</v>
      </c>
      <c r="D10" s="7">
        <v>42000</v>
      </c>
      <c r="E10" s="7">
        <v>166.66666666666666</v>
      </c>
      <c r="F10" s="8">
        <f t="shared" si="0"/>
        <v>7000000</v>
      </c>
    </row>
    <row r="11" spans="1:6">
      <c r="A11" s="1" t="s">
        <v>58</v>
      </c>
      <c r="B11" s="1" t="s">
        <v>61</v>
      </c>
      <c r="C11" s="1" t="s">
        <v>65</v>
      </c>
      <c r="D11" s="7">
        <v>1250000</v>
      </c>
      <c r="E11" s="7">
        <v>6</v>
      </c>
      <c r="F11" s="8">
        <f t="shared" si="0"/>
        <v>7500000</v>
      </c>
    </row>
    <row r="12" spans="1:6">
      <c r="A12" s="1" t="s">
        <v>58</v>
      </c>
      <c r="B12" s="1" t="s">
        <v>66</v>
      </c>
      <c r="C12" s="1" t="s">
        <v>67</v>
      </c>
      <c r="D12" s="7">
        <v>3250000</v>
      </c>
      <c r="E12" s="7">
        <v>4</v>
      </c>
      <c r="F12" s="8">
        <f t="shared" si="0"/>
        <v>13000000</v>
      </c>
    </row>
    <row r="13" spans="1:6">
      <c r="A13" s="1" t="s">
        <v>48</v>
      </c>
      <c r="B13" s="1" t="s">
        <v>68</v>
      </c>
      <c r="C13" s="1" t="s">
        <v>69</v>
      </c>
      <c r="D13" s="7">
        <v>62000</v>
      </c>
      <c r="E13" s="7">
        <v>70</v>
      </c>
      <c r="F13" s="8">
        <f t="shared" si="0"/>
        <v>4340000</v>
      </c>
    </row>
    <row r="14" spans="1:6">
      <c r="A14" s="1" t="s">
        <v>51</v>
      </c>
      <c r="B14" s="1" t="s">
        <v>70</v>
      </c>
      <c r="C14" s="1" t="s">
        <v>71</v>
      </c>
      <c r="D14" s="7">
        <v>250000</v>
      </c>
      <c r="E14" s="7">
        <v>25</v>
      </c>
      <c r="F14" s="8">
        <f t="shared" si="0"/>
        <v>6250000</v>
      </c>
    </row>
  </sheetData>
  <dataConsolidate/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9"/>
  <sheetViews>
    <sheetView workbookViewId="0"/>
  </sheetViews>
  <sheetFormatPr defaultRowHeight="16.5"/>
  <cols>
    <col min="1" max="1" width="10.25" style="2" customWidth="1"/>
    <col min="2" max="2" width="8.75" style="2" customWidth="1"/>
    <col min="3" max="3" width="11.125" style="2" bestFit="1" customWidth="1"/>
    <col min="4" max="4" width="8.375" style="2" customWidth="1"/>
    <col min="5" max="5" width="11.375" style="2" customWidth="1"/>
    <col min="6" max="6" width="12.625" style="2" customWidth="1"/>
    <col min="7" max="16384" width="9" style="2"/>
  </cols>
  <sheetData>
    <row r="1" spans="1:6">
      <c r="A1" s="2" t="s">
        <v>202</v>
      </c>
    </row>
    <row r="2" spans="1:6">
      <c r="A2" s="1" t="s">
        <v>17</v>
      </c>
      <c r="B2" s="1" t="s">
        <v>30</v>
      </c>
      <c r="C2" s="1" t="s">
        <v>18</v>
      </c>
      <c r="D2" s="1" t="s">
        <v>19</v>
      </c>
      <c r="E2" s="1" t="s">
        <v>20</v>
      </c>
      <c r="F2" s="1" t="s">
        <v>21</v>
      </c>
    </row>
    <row r="3" spans="1:6">
      <c r="A3" s="1">
        <v>2021206</v>
      </c>
      <c r="B3" s="1" t="s">
        <v>40</v>
      </c>
      <c r="C3" s="1">
        <v>100</v>
      </c>
      <c r="D3" s="1">
        <v>92</v>
      </c>
      <c r="E3" s="4">
        <v>96</v>
      </c>
      <c r="F3" s="1" t="s">
        <v>32</v>
      </c>
    </row>
    <row r="4" spans="1:6">
      <c r="A4" s="1">
        <v>2021201</v>
      </c>
      <c r="B4" s="1" t="s">
        <v>31</v>
      </c>
      <c r="C4" s="1">
        <v>88</v>
      </c>
      <c r="D4" s="1">
        <v>100</v>
      </c>
      <c r="E4" s="4">
        <v>94</v>
      </c>
      <c r="F4" s="1" t="s">
        <v>32</v>
      </c>
    </row>
    <row r="5" spans="1:6">
      <c r="A5" s="1">
        <v>2021203</v>
      </c>
      <c r="B5" s="4" t="s">
        <v>35</v>
      </c>
      <c r="C5" s="1">
        <v>90</v>
      </c>
      <c r="D5" s="1">
        <v>90</v>
      </c>
      <c r="E5" s="4">
        <v>90</v>
      </c>
      <c r="F5" s="1" t="s">
        <v>32</v>
      </c>
    </row>
    <row r="6" spans="1:6">
      <c r="A6" s="1">
        <v>2021204</v>
      </c>
      <c r="B6" s="4" t="s">
        <v>36</v>
      </c>
      <c r="C6" s="1">
        <v>78</v>
      </c>
      <c r="D6" s="1">
        <v>94</v>
      </c>
      <c r="E6" s="4">
        <v>86</v>
      </c>
      <c r="F6" s="1" t="s">
        <v>37</v>
      </c>
    </row>
    <row r="7" spans="1:6">
      <c r="A7" s="1">
        <v>2021205</v>
      </c>
      <c r="B7" s="1" t="s">
        <v>38</v>
      </c>
      <c r="C7" s="1">
        <v>55</v>
      </c>
      <c r="D7" s="1">
        <v>87</v>
      </c>
      <c r="E7" s="4">
        <v>71</v>
      </c>
      <c r="F7" s="1" t="s">
        <v>39</v>
      </c>
    </row>
    <row r="8" spans="1:6">
      <c r="A8" s="1">
        <v>2021202</v>
      </c>
      <c r="B8" s="4" t="s">
        <v>33</v>
      </c>
      <c r="C8" s="1">
        <v>78</v>
      </c>
      <c r="D8" s="1">
        <v>45</v>
      </c>
      <c r="E8" s="4">
        <v>61.5</v>
      </c>
      <c r="F8" s="1" t="s">
        <v>34</v>
      </c>
    </row>
    <row r="9" spans="1:6">
      <c r="A9" s="41" t="s">
        <v>41</v>
      </c>
      <c r="B9" s="42"/>
      <c r="C9" s="5">
        <f>AVERAGE(C3:C8)</f>
        <v>81.5</v>
      </c>
      <c r="D9" s="5">
        <f t="shared" ref="D9:E9" si="0">AVERAGE(D3:D8)</f>
        <v>84.666666666666671</v>
      </c>
      <c r="E9" s="5">
        <f t="shared" si="0"/>
        <v>83.083333333333329</v>
      </c>
      <c r="F9" s="6"/>
    </row>
  </sheetData>
  <sortState xmlns:xlrd2="http://schemas.microsoft.com/office/spreadsheetml/2017/richdata2" ref="A3:F8">
    <sortCondition descending="1" ref="E3:E8"/>
  </sortState>
  <mergeCells count="1">
    <mergeCell ref="A9:B9"/>
  </mergeCells>
  <phoneticPr fontId="2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0"/>
  <sheetViews>
    <sheetView workbookViewId="0"/>
  </sheetViews>
  <sheetFormatPr defaultRowHeight="16.5"/>
  <cols>
    <col min="1" max="1" width="10.25" style="2" customWidth="1"/>
    <col min="2" max="2" width="8.75" style="2" customWidth="1"/>
    <col min="3" max="3" width="11.125" style="2" bestFit="1" customWidth="1"/>
    <col min="4" max="4" width="8.375" style="2" customWidth="1"/>
    <col min="5" max="5" width="11.375" style="2" customWidth="1"/>
    <col min="6" max="6" width="12.625" style="2" customWidth="1"/>
    <col min="7" max="16384" width="9" style="2"/>
  </cols>
  <sheetData>
    <row r="1" spans="1:5">
      <c r="A1" s="2" t="s">
        <v>195</v>
      </c>
    </row>
    <row r="2" spans="1:5">
      <c r="E2" s="2" t="s">
        <v>196</v>
      </c>
    </row>
    <row r="3" spans="1:5">
      <c r="A3" s="1" t="s">
        <v>197</v>
      </c>
      <c r="B3" s="1" t="s">
        <v>198</v>
      </c>
      <c r="C3" s="1" t="s">
        <v>199</v>
      </c>
      <c r="D3" s="1" t="s">
        <v>200</v>
      </c>
      <c r="E3" s="1" t="s">
        <v>22</v>
      </c>
    </row>
    <row r="4" spans="1:5">
      <c r="A4" s="1" t="s">
        <v>23</v>
      </c>
      <c r="B4" s="1">
        <v>88</v>
      </c>
      <c r="C4" s="3">
        <v>985600</v>
      </c>
      <c r="D4" s="1">
        <v>83</v>
      </c>
      <c r="E4" s="3">
        <v>929600</v>
      </c>
    </row>
    <row r="5" spans="1:5">
      <c r="A5" s="1" t="s">
        <v>24</v>
      </c>
      <c r="B5" s="1">
        <v>77</v>
      </c>
      <c r="C5" s="3">
        <v>862400</v>
      </c>
      <c r="D5" s="1">
        <v>68</v>
      </c>
      <c r="E5" s="3">
        <v>761600</v>
      </c>
    </row>
    <row r="6" spans="1:5">
      <c r="A6" s="1" t="s">
        <v>25</v>
      </c>
      <c r="B6" s="1">
        <v>57</v>
      </c>
      <c r="C6" s="3">
        <v>638400</v>
      </c>
      <c r="D6" s="1">
        <v>56</v>
      </c>
      <c r="E6" s="3">
        <v>627200</v>
      </c>
    </row>
    <row r="7" spans="1:5">
      <c r="A7" s="1" t="s">
        <v>26</v>
      </c>
      <c r="B7" s="1">
        <v>29</v>
      </c>
      <c r="C7" s="3">
        <v>324800</v>
      </c>
      <c r="D7" s="1">
        <v>23</v>
      </c>
      <c r="E7" s="3">
        <v>257600</v>
      </c>
    </row>
    <row r="8" spans="1:5">
      <c r="A8" s="1" t="s">
        <v>27</v>
      </c>
      <c r="B8" s="1">
        <v>74</v>
      </c>
      <c r="C8" s="3">
        <v>828800</v>
      </c>
      <c r="D8" s="1">
        <v>60</v>
      </c>
      <c r="E8" s="3">
        <v>672000</v>
      </c>
    </row>
    <row r="9" spans="1:5">
      <c r="A9" s="1" t="s">
        <v>28</v>
      </c>
      <c r="B9" s="1">
        <v>67</v>
      </c>
      <c r="C9" s="3">
        <v>750400</v>
      </c>
      <c r="D9" s="1">
        <v>50</v>
      </c>
      <c r="E9" s="3">
        <v>560000</v>
      </c>
    </row>
    <row r="10" spans="1:5">
      <c r="A10" s="1" t="s">
        <v>29</v>
      </c>
      <c r="B10" s="1">
        <v>86</v>
      </c>
      <c r="C10" s="3">
        <v>963200</v>
      </c>
      <c r="D10" s="1">
        <v>85</v>
      </c>
      <c r="E10" s="3">
        <v>952000</v>
      </c>
    </row>
  </sheetData>
  <phoneticPr fontId="2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>길벗R&amp;D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조준현</cp:lastModifiedBy>
  <dcterms:created xsi:type="dcterms:W3CDTF">2011-06-14T11:28:39Z</dcterms:created>
  <dcterms:modified xsi:type="dcterms:W3CDTF">2023-10-09T17:11:29Z</dcterms:modified>
</cp:coreProperties>
</file>