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10회 실전모의고사\"/>
    </mc:Choice>
  </mc:AlternateContent>
  <xr:revisionPtr revIDLastSave="0" documentId="13_ncr:1_{3E0EA817-C3A3-410D-8C32-440332296236}" xr6:coauthVersionLast="47" xr6:coauthVersionMax="47" xr10:uidLastSave="{00000000-0000-0000-0000-000000000000}"/>
  <bookViews>
    <workbookView xWindow="7545" yWindow="645" windowWidth="15390" windowHeight="12690" xr2:uid="{00000000-000D-0000-FFFF-FFFF00000000}"/>
  </bookViews>
  <sheets>
    <sheet name="기본작업-1" sheetId="1" r:id="rId1"/>
    <sheet name="기본작업-2" sheetId="4" r:id="rId2"/>
    <sheet name="기본작업-3" sheetId="5" r:id="rId3"/>
    <sheet name="계산작업" sheetId="9" r:id="rId4"/>
    <sheet name="시나리오 요약" sheetId="10" r:id="rId5"/>
    <sheet name="분석작업-1" sheetId="7" r:id="rId6"/>
    <sheet name="분석작업-2" sheetId="2" r:id="rId7"/>
    <sheet name="매크로작업" sheetId="3" r:id="rId8"/>
    <sheet name="차트작업" sheetId="8" r:id="rId9"/>
  </sheets>
  <definedNames>
    <definedName name="_xlnm._FilterDatabase" localSheetId="2" hidden="1">'기본작업-3'!$B$3:$G$12</definedName>
    <definedName name="_xlnm.Criteria" localSheetId="2">'기본작업-3'!$B$14:$C$15</definedName>
    <definedName name="_xlnm.Extract" localSheetId="2">'기본작업-3'!$B$18:$G$18</definedName>
    <definedName name="수익률">'분석작업-1'!$F$16</definedName>
    <definedName name="순매출액합계">'분석작업-1'!$F$14</definedName>
    <definedName name="인사자료_1" localSheetId="2">'기본작업-3'!$B$3:$G$9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3" l="1"/>
  <c r="F13" i="3"/>
  <c r="D13" i="3"/>
  <c r="G17" i="2" l="1"/>
  <c r="G15" i="2"/>
  <c r="G11" i="2"/>
  <c r="G6" i="2"/>
  <c r="F16" i="2"/>
  <c r="E16" i="2"/>
  <c r="F12" i="2"/>
  <c r="F18" i="2" s="1"/>
  <c r="E12" i="2"/>
  <c r="F7" i="2"/>
  <c r="E7" i="2"/>
  <c r="E18" i="2" s="1"/>
  <c r="H10" i="2"/>
  <c r="H5" i="2"/>
  <c r="H9" i="2"/>
  <c r="H8" i="2"/>
  <c r="H14" i="2"/>
  <c r="H4" i="2"/>
  <c r="H13" i="2"/>
  <c r="F36" i="9" l="1"/>
  <c r="I16" i="9"/>
  <c r="I17" i="9"/>
  <c r="I18" i="9"/>
  <c r="I19" i="9"/>
  <c r="I20" i="9"/>
  <c r="I21" i="9"/>
  <c r="I15" i="9"/>
  <c r="K4" i="9"/>
  <c r="K5" i="9"/>
  <c r="K6" i="9"/>
  <c r="K7" i="9"/>
  <c r="K8" i="9"/>
  <c r="K9" i="9"/>
  <c r="K10" i="9"/>
  <c r="K11" i="9"/>
  <c r="K3" i="9"/>
  <c r="D4" i="9"/>
  <c r="D5" i="9"/>
  <c r="D6" i="9"/>
  <c r="D7" i="9"/>
  <c r="D8" i="9"/>
  <c r="D9" i="9"/>
  <c r="D10" i="9"/>
  <c r="D3" i="9"/>
  <c r="E8" i="8" l="1"/>
  <c r="E7" i="8"/>
  <c r="E6" i="8"/>
  <c r="E5" i="8"/>
  <c r="E4" i="8"/>
  <c r="E12" i="3"/>
  <c r="F12" i="3" s="1"/>
  <c r="E11" i="3"/>
  <c r="F11" i="3" s="1"/>
  <c r="E10" i="3"/>
  <c r="F10" i="3" s="1"/>
  <c r="E9" i="3"/>
  <c r="F9" i="3" s="1"/>
  <c r="E8" i="3"/>
  <c r="F8" i="3" s="1"/>
  <c r="E7" i="3"/>
  <c r="F7" i="3" s="1"/>
  <c r="E6" i="3"/>
  <c r="F6" i="3" s="1"/>
  <c r="E5" i="3"/>
  <c r="E4" i="3"/>
  <c r="F4" i="3" l="1"/>
  <c r="F5" i="3"/>
  <c r="E5" i="7"/>
  <c r="F5" i="7" s="1"/>
  <c r="E6" i="7"/>
  <c r="F6" i="7" s="1"/>
  <c r="E7" i="7"/>
  <c r="F7" i="7" s="1"/>
  <c r="E8" i="7"/>
  <c r="F8" i="7" s="1"/>
  <c r="E9" i="7"/>
  <c r="F9" i="7" s="1"/>
  <c r="E10" i="7"/>
  <c r="F10" i="7" s="1"/>
  <c r="E11" i="7"/>
  <c r="F11" i="7" s="1"/>
  <c r="E12" i="7"/>
  <c r="F12" i="7" s="1"/>
  <c r="E13" i="7"/>
  <c r="F13" i="7" s="1"/>
  <c r="E4" i="7"/>
  <c r="D15" i="9"/>
  <c r="C25" i="9" s="1"/>
  <c r="D16" i="9"/>
  <c r="D17" i="9"/>
  <c r="D18" i="9"/>
  <c r="D19" i="9"/>
  <c r="D20" i="9"/>
  <c r="D21" i="9"/>
  <c r="D22" i="9"/>
  <c r="D14" i="9"/>
  <c r="F4" i="7" l="1"/>
  <c r="F14" i="7" s="1"/>
  <c r="E1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인사자료" type="6" refreshedVersion="0" background="1" saveData="1">
    <textPr sourceFile="C:\컴활03년3회\인사자료.txt" tab="0" comma="1" qualifier="none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<sst xmlns="http://schemas.openxmlformats.org/spreadsheetml/2006/main" count="346" uniqueCount="281">
  <si>
    <t>고객 예탁금 현황</t>
    <phoneticPr fontId="3" type="noConversion"/>
  </si>
  <si>
    <t>이름</t>
  </si>
  <si>
    <t>지역</t>
    <phoneticPr fontId="4" type="noConversion"/>
  </si>
  <si>
    <t>서울</t>
    <phoneticPr fontId="4" type="noConversion"/>
  </si>
  <si>
    <t>부산</t>
    <phoneticPr fontId="4" type="noConversion"/>
  </si>
  <si>
    <t>대구</t>
    <phoneticPr fontId="4" type="noConversion"/>
  </si>
  <si>
    <t>인천</t>
    <phoneticPr fontId="4" type="noConversion"/>
  </si>
  <si>
    <t>광주</t>
    <phoneticPr fontId="4" type="noConversion"/>
  </si>
  <si>
    <t>대전</t>
    <phoneticPr fontId="4" type="noConversion"/>
  </si>
  <si>
    <t>속초</t>
    <phoneticPr fontId="4" type="noConversion"/>
  </si>
  <si>
    <t>서산</t>
    <phoneticPr fontId="4" type="noConversion"/>
  </si>
  <si>
    <t>여수</t>
    <phoneticPr fontId="4" type="noConversion"/>
  </si>
  <si>
    <t>포항</t>
    <phoneticPr fontId="4" type="noConversion"/>
  </si>
  <si>
    <t>울릉도</t>
    <phoneticPr fontId="4" type="noConversion"/>
  </si>
  <si>
    <t>제주</t>
    <phoneticPr fontId="4" type="noConversion"/>
  </si>
  <si>
    <t>사원번호</t>
  </si>
  <si>
    <t>김예소</t>
    <phoneticPr fontId="3" type="noConversion"/>
  </si>
  <si>
    <t>이향기</t>
    <phoneticPr fontId="3" type="noConversion"/>
  </si>
  <si>
    <t>대리</t>
    <phoneticPr fontId="2" type="noConversion"/>
  </si>
  <si>
    <t>과장</t>
    <phoneticPr fontId="2" type="noConversion"/>
  </si>
  <si>
    <t>부장</t>
    <phoneticPr fontId="2" type="noConversion"/>
  </si>
  <si>
    <t>사원</t>
    <phoneticPr fontId="2" type="noConversion"/>
  </si>
  <si>
    <t>최예인</t>
    <phoneticPr fontId="3" type="noConversion"/>
  </si>
  <si>
    <t>윤영근</t>
    <phoneticPr fontId="3" type="noConversion"/>
  </si>
  <si>
    <t>이유림</t>
    <phoneticPr fontId="3" type="noConversion"/>
  </si>
  <si>
    <t>이수안</t>
    <phoneticPr fontId="3" type="noConversion"/>
  </si>
  <si>
    <t>최두완</t>
    <phoneticPr fontId="3" type="noConversion"/>
  </si>
  <si>
    <t>정보기사</t>
    <phoneticPr fontId="2" type="noConversion"/>
  </si>
  <si>
    <t>사무자동화</t>
    <phoneticPr fontId="2" type="noConversion"/>
  </si>
  <si>
    <t>컴활용1급</t>
    <phoneticPr fontId="2" type="noConversion"/>
  </si>
  <si>
    <t>성별</t>
    <phoneticPr fontId="2" type="noConversion"/>
  </si>
  <si>
    <t>여</t>
    <phoneticPr fontId="2" type="noConversion"/>
  </si>
  <si>
    <t>남</t>
    <phoneticPr fontId="2" type="noConversion"/>
  </si>
  <si>
    <t>김근성</t>
    <phoneticPr fontId="3" type="noConversion"/>
  </si>
  <si>
    <t>이열심</t>
    <phoneticPr fontId="3" type="noConversion"/>
  </si>
  <si>
    <t>직책</t>
  </si>
  <si>
    <t>호봉</t>
  </si>
  <si>
    <t>자격증</t>
  </si>
  <si>
    <t>컴활용2급</t>
  </si>
  <si>
    <t>워드2급</t>
  </si>
  <si>
    <t>부기1급</t>
  </si>
  <si>
    <t>성명</t>
    <phoneticPr fontId="3" type="noConversion"/>
  </si>
  <si>
    <t>배순용</t>
    <phoneticPr fontId="3" type="noConversion"/>
  </si>
  <si>
    <t>이길순</t>
    <phoneticPr fontId="3" type="noConversion"/>
  </si>
  <si>
    <t>하길주</t>
    <phoneticPr fontId="3" type="noConversion"/>
  </si>
  <si>
    <t>이선호</t>
    <phoneticPr fontId="3" type="noConversion"/>
  </si>
  <si>
    <t>강성수</t>
    <phoneticPr fontId="3" type="noConversion"/>
  </si>
  <si>
    <t>김보견</t>
    <phoneticPr fontId="3" type="noConversion"/>
  </si>
  <si>
    <t>천수만</t>
    <phoneticPr fontId="3" type="noConversion"/>
  </si>
  <si>
    <t>이성수</t>
    <phoneticPr fontId="3" type="noConversion"/>
  </si>
  <si>
    <t>전기 사용 현황</t>
    <phoneticPr fontId="3" type="noConversion"/>
  </si>
  <si>
    <t>[표4]</t>
    <phoneticPr fontId="3" type="noConversion"/>
  </si>
  <si>
    <t>구분</t>
    <phoneticPr fontId="3" type="noConversion"/>
  </si>
  <si>
    <t>사용량</t>
    <phoneticPr fontId="3" type="noConversion"/>
  </si>
  <si>
    <t>전기요금</t>
    <phoneticPr fontId="3" type="noConversion"/>
  </si>
  <si>
    <t>영업용</t>
    <phoneticPr fontId="3" type="noConversion"/>
  </si>
  <si>
    <t>가정용</t>
    <phoneticPr fontId="3" type="noConversion"/>
  </si>
  <si>
    <t>산업용</t>
    <phoneticPr fontId="3" type="noConversion"/>
  </si>
  <si>
    <t>[표5]</t>
    <phoneticPr fontId="3" type="noConversion"/>
  </si>
  <si>
    <t>[표1]</t>
    <phoneticPr fontId="3" type="noConversion"/>
  </si>
  <si>
    <r>
      <t>가정용 전기요금</t>
    </r>
    <r>
      <rPr>
        <sz val="11"/>
        <color theme="1"/>
        <rFont val="맑은 고딕"/>
        <family val="3"/>
        <charset val="129"/>
        <scheme val="minor"/>
      </rPr>
      <t xml:space="preserve"> 평균</t>
    </r>
    <phoneticPr fontId="3" type="noConversion"/>
  </si>
  <si>
    <t>1월 목표량</t>
    <phoneticPr fontId="2" type="noConversion"/>
  </si>
  <si>
    <t>1월 판매량</t>
    <phoneticPr fontId="2" type="noConversion"/>
  </si>
  <si>
    <t>2월 목표량</t>
    <phoneticPr fontId="2" type="noConversion"/>
  </si>
  <si>
    <t>2월 판매량</t>
    <phoneticPr fontId="2" type="noConversion"/>
  </si>
  <si>
    <t>포상</t>
    <phoneticPr fontId="3" type="noConversion"/>
  </si>
  <si>
    <t>[표2]</t>
    <phoneticPr fontId="3" type="noConversion"/>
  </si>
  <si>
    <t>[표3]</t>
    <phoneticPr fontId="3" type="noConversion"/>
  </si>
  <si>
    <t>제품명</t>
    <phoneticPr fontId="3" type="noConversion"/>
  </si>
  <si>
    <t>컴퓨터</t>
    <phoneticPr fontId="3" type="noConversion"/>
  </si>
  <si>
    <t>프린터</t>
    <phoneticPr fontId="3" type="noConversion"/>
  </si>
  <si>
    <t>스캐너</t>
    <phoneticPr fontId="3" type="noConversion"/>
  </si>
  <si>
    <t>카메라</t>
    <phoneticPr fontId="2" type="noConversion"/>
  </si>
  <si>
    <t>냉장고</t>
    <phoneticPr fontId="2" type="noConversion"/>
  </si>
  <si>
    <t>TV</t>
    <phoneticPr fontId="2" type="noConversion"/>
  </si>
  <si>
    <t>노트북</t>
    <phoneticPr fontId="2" type="noConversion"/>
  </si>
  <si>
    <t>&lt;할인율표&gt;</t>
    <phoneticPr fontId="3" type="noConversion"/>
  </si>
  <si>
    <t>판매가</t>
    <phoneticPr fontId="2" type="noConversion"/>
  </si>
  <si>
    <t>판매금액</t>
    <phoneticPr fontId="2" type="noConversion"/>
  </si>
  <si>
    <t>판매가</t>
    <phoneticPr fontId="2" type="noConversion"/>
  </si>
  <si>
    <t>할인율</t>
    <phoneticPr fontId="2" type="noConversion"/>
  </si>
  <si>
    <t>판매량</t>
    <phoneticPr fontId="2" type="noConversion"/>
  </si>
  <si>
    <t>결과</t>
    <phoneticPr fontId="3" type="noConversion"/>
  </si>
  <si>
    <t>학년</t>
    <phoneticPr fontId="3" type="noConversion"/>
  </si>
  <si>
    <t>점수</t>
    <phoneticPr fontId="3" type="noConversion"/>
  </si>
  <si>
    <t>미술 대회 결과</t>
    <phoneticPr fontId="3" type="noConversion"/>
  </si>
  <si>
    <t>급여 현황</t>
    <phoneticPr fontId="3" type="noConversion"/>
  </si>
  <si>
    <t>코드번호</t>
    <phoneticPr fontId="3" type="noConversion"/>
  </si>
  <si>
    <t>A001</t>
    <phoneticPr fontId="3" type="noConversion"/>
  </si>
  <si>
    <t>A002</t>
    <phoneticPr fontId="3" type="noConversion"/>
  </si>
  <si>
    <t>A003</t>
    <phoneticPr fontId="3" type="noConversion"/>
  </si>
  <si>
    <t>D001</t>
    <phoneticPr fontId="2" type="noConversion"/>
  </si>
  <si>
    <t>D002</t>
    <phoneticPr fontId="2" type="noConversion"/>
  </si>
  <si>
    <t>D003</t>
    <phoneticPr fontId="2" type="noConversion"/>
  </si>
  <si>
    <t>F001</t>
    <phoneticPr fontId="2" type="noConversion"/>
  </si>
  <si>
    <t>F002</t>
    <phoneticPr fontId="2" type="noConversion"/>
  </si>
  <si>
    <t>F003</t>
    <phoneticPr fontId="2" type="noConversion"/>
  </si>
  <si>
    <t>부서명</t>
    <phoneticPr fontId="9" type="noConversion"/>
  </si>
  <si>
    <t>판매1팀</t>
    <phoneticPr fontId="9" type="noConversion"/>
  </si>
  <si>
    <t>판매2팀</t>
  </si>
  <si>
    <t>판매3팀</t>
  </si>
  <si>
    <t>판매4팀</t>
  </si>
  <si>
    <t>판매5팀</t>
  </si>
  <si>
    <t>판매6팀</t>
  </si>
  <si>
    <t>판매7팀</t>
  </si>
  <si>
    <t>판매8팀</t>
  </si>
  <si>
    <t>판매9팀</t>
  </si>
  <si>
    <t>김은소</t>
    <phoneticPr fontId="3" type="noConversion"/>
  </si>
  <si>
    <t>이건우</t>
    <phoneticPr fontId="3" type="noConversion"/>
  </si>
  <si>
    <t>황진주</t>
    <phoneticPr fontId="2" type="noConversion"/>
  </si>
  <si>
    <t>이상희</t>
    <phoneticPr fontId="2" type="noConversion"/>
  </si>
  <si>
    <t>신의수</t>
    <phoneticPr fontId="2" type="noConversion"/>
  </si>
  <si>
    <t>우양섭</t>
    <phoneticPr fontId="2" type="noConversion"/>
  </si>
  <si>
    <t>이윤주</t>
    <phoneticPr fontId="2" type="noConversion"/>
  </si>
  <si>
    <t>김민서</t>
    <phoneticPr fontId="2" type="noConversion"/>
  </si>
  <si>
    <t>성별</t>
    <phoneticPr fontId="3" type="noConversion"/>
  </si>
  <si>
    <t>직급</t>
    <phoneticPr fontId="3" type="noConversion"/>
  </si>
  <si>
    <t>급여</t>
    <phoneticPr fontId="3" type="noConversion"/>
  </si>
  <si>
    <t>여</t>
    <phoneticPr fontId="3" type="noConversion"/>
  </si>
  <si>
    <t>남</t>
    <phoneticPr fontId="3" type="noConversion"/>
  </si>
  <si>
    <t>부장</t>
    <phoneticPr fontId="3" type="noConversion"/>
  </si>
  <si>
    <t>대리</t>
    <phoneticPr fontId="3" type="noConversion"/>
  </si>
  <si>
    <t>사원</t>
    <phoneticPr fontId="3" type="noConversion"/>
  </si>
  <si>
    <t>과장</t>
    <phoneticPr fontId="3" type="noConversion"/>
  </si>
  <si>
    <t>대리 급여 평균</t>
    <phoneticPr fontId="2" type="noConversion"/>
  </si>
  <si>
    <t>사원번호</t>
    <phoneticPr fontId="3" type="noConversion"/>
  </si>
  <si>
    <t>이름</t>
    <phoneticPr fontId="3" type="noConversion"/>
  </si>
  <si>
    <t>직위</t>
    <phoneticPr fontId="3" type="noConversion"/>
  </si>
  <si>
    <t>근속년수</t>
    <phoneticPr fontId="3" type="noConversion"/>
  </si>
  <si>
    <t>본봉</t>
    <phoneticPr fontId="3" type="noConversion"/>
  </si>
  <si>
    <t>직무수당</t>
    <phoneticPr fontId="3" type="noConversion"/>
  </si>
  <si>
    <t>근속수당</t>
    <phoneticPr fontId="3" type="noConversion"/>
  </si>
  <si>
    <t>급여합계</t>
    <phoneticPr fontId="3" type="noConversion"/>
  </si>
  <si>
    <t>85-008</t>
    <phoneticPr fontId="3" type="noConversion"/>
  </si>
  <si>
    <t>김진수</t>
    <phoneticPr fontId="3" type="noConversion"/>
  </si>
  <si>
    <t>90-008</t>
    <phoneticPr fontId="3" type="noConversion"/>
  </si>
  <si>
    <t>홍록기</t>
    <phoneticPr fontId="3" type="noConversion"/>
  </si>
  <si>
    <t>91-045</t>
    <phoneticPr fontId="3" type="noConversion"/>
  </si>
  <si>
    <t>강동성</t>
    <phoneticPr fontId="3" type="noConversion"/>
  </si>
  <si>
    <t>88-011</t>
    <phoneticPr fontId="3" type="noConversion"/>
  </si>
  <si>
    <t>구정민</t>
    <phoneticPr fontId="3" type="noConversion"/>
  </si>
  <si>
    <t>89-012</t>
    <phoneticPr fontId="3" type="noConversion"/>
  </si>
  <si>
    <t>김찬우</t>
    <phoneticPr fontId="3" type="noConversion"/>
  </si>
  <si>
    <t>88-005</t>
    <phoneticPr fontId="3" type="noConversion"/>
  </si>
  <si>
    <t>서경석</t>
    <phoneticPr fontId="3" type="noConversion"/>
  </si>
  <si>
    <t>81-006</t>
    <phoneticPr fontId="3" type="noConversion"/>
  </si>
  <si>
    <t>이현성</t>
    <phoneticPr fontId="3" type="noConversion"/>
  </si>
  <si>
    <t>급여 현황</t>
    <phoneticPr fontId="3" type="noConversion"/>
  </si>
  <si>
    <t>사원명</t>
    <phoneticPr fontId="3" type="noConversion"/>
  </si>
  <si>
    <t>박인순</t>
    <phoneticPr fontId="3" type="noConversion"/>
  </si>
  <si>
    <t>이정수</t>
    <phoneticPr fontId="3" type="noConversion"/>
  </si>
  <si>
    <t>박동식</t>
    <phoneticPr fontId="3" type="noConversion"/>
  </si>
  <si>
    <t>강명수</t>
    <phoneticPr fontId="3" type="noConversion"/>
  </si>
  <si>
    <t>이영구</t>
    <phoneticPr fontId="3" type="noConversion"/>
  </si>
  <si>
    <t>윤수인</t>
    <phoneticPr fontId="3" type="noConversion"/>
  </si>
  <si>
    <t>단가</t>
    <phoneticPr fontId="3" type="noConversion"/>
  </si>
  <si>
    <t>판매수량</t>
    <phoneticPr fontId="2" type="noConversion"/>
  </si>
  <si>
    <t>판매금액</t>
    <phoneticPr fontId="2" type="noConversion"/>
  </si>
  <si>
    <t>심영훈</t>
    <phoneticPr fontId="2" type="noConversion"/>
  </si>
  <si>
    <t>양선희</t>
    <phoneticPr fontId="2" type="noConversion"/>
  </si>
  <si>
    <t>채미나</t>
    <phoneticPr fontId="2" type="noConversion"/>
  </si>
  <si>
    <t>A-K10</t>
    <phoneticPr fontId="2" type="noConversion"/>
  </si>
  <si>
    <t>A-K19</t>
  </si>
  <si>
    <t>C-D11</t>
    <phoneticPr fontId="2" type="noConversion"/>
  </si>
  <si>
    <t>F-H35</t>
    <phoneticPr fontId="2" type="noConversion"/>
  </si>
  <si>
    <t>H-G12</t>
    <phoneticPr fontId="2" type="noConversion"/>
  </si>
  <si>
    <t>K-D56</t>
    <phoneticPr fontId="2" type="noConversion"/>
  </si>
  <si>
    <t>S-A20</t>
    <phoneticPr fontId="2" type="noConversion"/>
  </si>
  <si>
    <t>M-N43</t>
    <phoneticPr fontId="2" type="noConversion"/>
  </si>
  <si>
    <t>C-F55</t>
    <phoneticPr fontId="2" type="noConversion"/>
  </si>
  <si>
    <t>N-K95</t>
    <phoneticPr fontId="2" type="noConversion"/>
  </si>
  <si>
    <t>순매출액</t>
    <phoneticPr fontId="2" type="noConversion"/>
  </si>
  <si>
    <t>제품코드</t>
    <phoneticPr fontId="3" type="noConversion"/>
  </si>
  <si>
    <t>사원별 제품 판매 현황</t>
    <phoneticPr fontId="2" type="noConversion"/>
  </si>
  <si>
    <t>합계</t>
    <phoneticPr fontId="2" type="noConversion"/>
  </si>
  <si>
    <t>수익률</t>
    <phoneticPr fontId="2" type="noConversion"/>
  </si>
  <si>
    <t>임금명세표</t>
    <phoneticPr fontId="12" type="noConversion"/>
  </si>
  <si>
    <t>이름</t>
    <phoneticPr fontId="12" type="noConversion"/>
  </si>
  <si>
    <t>직위</t>
    <phoneticPr fontId="12" type="noConversion"/>
  </si>
  <si>
    <t>상여율</t>
    <phoneticPr fontId="12" type="noConversion"/>
  </si>
  <si>
    <t>기본급</t>
    <phoneticPr fontId="12" type="noConversion"/>
  </si>
  <si>
    <t>상여금</t>
    <phoneticPr fontId="12" type="noConversion"/>
  </si>
  <si>
    <t>총급여액</t>
    <phoneticPr fontId="12" type="noConversion"/>
  </si>
  <si>
    <t>김한규</t>
    <phoneticPr fontId="12" type="noConversion"/>
  </si>
  <si>
    <t>대리</t>
  </si>
  <si>
    <t>장인성</t>
    <phoneticPr fontId="12" type="noConversion"/>
  </si>
  <si>
    <t>과장</t>
  </si>
  <si>
    <t>박인수</t>
    <phoneticPr fontId="12" type="noConversion"/>
  </si>
  <si>
    <t>부장</t>
  </si>
  <si>
    <t>이나미</t>
    <phoneticPr fontId="12" type="noConversion"/>
  </si>
  <si>
    <t>강미선</t>
    <phoneticPr fontId="12" type="noConversion"/>
  </si>
  <si>
    <t>조미영</t>
    <phoneticPr fontId="12" type="noConversion"/>
  </si>
  <si>
    <t>이은주</t>
    <phoneticPr fontId="12" type="noConversion"/>
  </si>
  <si>
    <t>장은진</t>
    <phoneticPr fontId="12" type="noConversion"/>
  </si>
  <si>
    <t>김은수</t>
    <phoneticPr fontId="12" type="noConversion"/>
  </si>
  <si>
    <t>평균</t>
    <phoneticPr fontId="3" type="noConversion"/>
  </si>
  <si>
    <t>밀 수입 현황</t>
    <phoneticPr fontId="13" type="noConversion"/>
  </si>
  <si>
    <t>수입월</t>
  </si>
  <si>
    <t>원산지</t>
  </si>
  <si>
    <t>수량</t>
  </si>
  <si>
    <t>kg당 단가</t>
  </si>
  <si>
    <t>수입금액</t>
  </si>
  <si>
    <t>1월</t>
  </si>
  <si>
    <t>미국산</t>
  </si>
  <si>
    <t>2월</t>
  </si>
  <si>
    <t>호주산</t>
  </si>
  <si>
    <t>3월</t>
  </si>
  <si>
    <t>유럽산</t>
  </si>
  <si>
    <t>4월</t>
  </si>
  <si>
    <t>5월</t>
  </si>
  <si>
    <t>부서별 인적사항</t>
    <phoneticPr fontId="2" type="noConversion"/>
  </si>
  <si>
    <t>월별 판매 현황</t>
    <phoneticPr fontId="2" type="noConversion"/>
  </si>
  <si>
    <t>전자제품 판매 현황</t>
    <phoneticPr fontId="3" type="noConversion"/>
  </si>
  <si>
    <t>고객번호</t>
    <phoneticPr fontId="3" type="noConversion"/>
  </si>
  <si>
    <t>은행계좌번호</t>
    <phoneticPr fontId="3" type="noConversion"/>
  </si>
  <si>
    <t>계약기간</t>
    <phoneticPr fontId="3" type="noConversion"/>
  </si>
  <si>
    <t>계약금액</t>
    <phoneticPr fontId="3" type="noConversion"/>
  </si>
  <si>
    <t>등록ID</t>
    <phoneticPr fontId="3" type="noConversion"/>
  </si>
  <si>
    <t>aq-312</t>
    <phoneticPr fontId="3" type="noConversion"/>
  </si>
  <si>
    <t>김한수</t>
    <phoneticPr fontId="3" type="noConversion"/>
  </si>
  <si>
    <t>302-11-222209</t>
    <phoneticPr fontId="3" type="noConversion"/>
  </si>
  <si>
    <t>11-#-kim</t>
    <phoneticPr fontId="3" type="noConversion"/>
  </si>
  <si>
    <t>ax-034</t>
    <phoneticPr fontId="3" type="noConversion"/>
  </si>
  <si>
    <t>장동민</t>
    <phoneticPr fontId="3" type="noConversion"/>
  </si>
  <si>
    <t>302-11-222210</t>
    <phoneticPr fontId="3" type="noConversion"/>
  </si>
  <si>
    <t>23-$-jang</t>
    <phoneticPr fontId="3" type="noConversion"/>
  </si>
  <si>
    <t>hk-053</t>
    <phoneticPr fontId="3" type="noConversion"/>
  </si>
  <si>
    <t>김광민</t>
    <phoneticPr fontId="3" type="noConversion"/>
  </si>
  <si>
    <t>456-21-123456</t>
    <phoneticPr fontId="3" type="noConversion"/>
  </si>
  <si>
    <t>31-&amp;-kim</t>
    <phoneticPr fontId="3" type="noConversion"/>
  </si>
  <si>
    <t>go-052</t>
    <phoneticPr fontId="3" type="noConversion"/>
  </si>
  <si>
    <t>이나미</t>
    <phoneticPr fontId="3" type="noConversion"/>
  </si>
  <si>
    <t>978-21-654789</t>
    <phoneticPr fontId="3" type="noConversion"/>
  </si>
  <si>
    <t>73-*-lee</t>
    <phoneticPr fontId="3" type="noConversion"/>
  </si>
  <si>
    <t>dd-409</t>
    <phoneticPr fontId="3" type="noConversion"/>
  </si>
  <si>
    <t>강미선</t>
    <phoneticPr fontId="3" type="noConversion"/>
  </si>
  <si>
    <t>093-09-825101</t>
    <phoneticPr fontId="3" type="noConversion"/>
  </si>
  <si>
    <t>80-#-kang</t>
    <phoneticPr fontId="3" type="noConversion"/>
  </si>
  <si>
    <t>mt-043</t>
    <phoneticPr fontId="3" type="noConversion"/>
  </si>
  <si>
    <t>조미영</t>
    <phoneticPr fontId="3" type="noConversion"/>
  </si>
  <si>
    <t>395-09-825802</t>
    <phoneticPr fontId="3" type="noConversion"/>
  </si>
  <si>
    <t>90-*-cho</t>
    <phoneticPr fontId="3" type="noConversion"/>
  </si>
  <si>
    <t>po-525</t>
    <phoneticPr fontId="3" type="noConversion"/>
  </si>
  <si>
    <t>이은주</t>
    <phoneticPr fontId="3" type="noConversion"/>
  </si>
  <si>
    <t>939-09-825803</t>
    <phoneticPr fontId="3" type="noConversion"/>
  </si>
  <si>
    <t>46-$-pos</t>
    <phoneticPr fontId="3" type="noConversion"/>
  </si>
  <si>
    <t>전국(全國) 강수량</t>
    <phoneticPr fontId="3" type="noConversion"/>
  </si>
  <si>
    <t>성별</t>
    <phoneticPr fontId="2" type="noConversion"/>
  </si>
  <si>
    <t>여</t>
    <phoneticPr fontId="2" type="noConversion"/>
  </si>
  <si>
    <t>직책</t>
    <phoneticPr fontId="2" type="noConversion"/>
  </si>
  <si>
    <t>대리</t>
    <phoneticPr fontId="2" type="noConversion"/>
  </si>
  <si>
    <t>과장 요약</t>
  </si>
  <si>
    <t>대리 요약</t>
  </si>
  <si>
    <t>부장 요약</t>
  </si>
  <si>
    <t>총합계</t>
  </si>
  <si>
    <t>과장 평균</t>
  </si>
  <si>
    <t>대리 평균</t>
  </si>
  <si>
    <t>부장 평균</t>
  </si>
  <si>
    <t>전체 평균</t>
  </si>
  <si>
    <t>17년</t>
    <phoneticPr fontId="2" type="noConversion"/>
  </si>
  <si>
    <t>12년</t>
    <phoneticPr fontId="2" type="noConversion"/>
  </si>
  <si>
    <t>16년</t>
    <phoneticPr fontId="2" type="noConversion"/>
  </si>
  <si>
    <t>8년</t>
    <phoneticPr fontId="2" type="noConversion"/>
  </si>
  <si>
    <t>7년</t>
    <phoneticPr fontId="2" type="noConversion"/>
  </si>
  <si>
    <t>13년</t>
    <phoneticPr fontId="2" type="noConversion"/>
  </si>
  <si>
    <t>6년</t>
    <phoneticPr fontId="2" type="noConversion"/>
  </si>
  <si>
    <t>수익률</t>
  </si>
  <si>
    <t>순매출액합계</t>
  </si>
  <si>
    <t>수익률증가</t>
  </si>
  <si>
    <t>수익률감소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</si>
  <si>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</si>
  <si>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</si>
  <si>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</si>
  <si>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</si>
  <si>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</si>
  <si>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</si>
  <si>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</si>
  <si>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2024년</t>
    <phoneticPr fontId="3" type="noConversion"/>
  </si>
  <si>
    <t>2023년</t>
    <phoneticPr fontId="4" type="noConversion"/>
  </si>
  <si>
    <t>2022년</t>
    <phoneticPr fontId="4" type="noConversion"/>
  </si>
  <si>
    <t>2021년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</si>
</sst>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&quot;ml&quot;"/>
  </numFmts>
  <fonts count="2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돋움체"/>
      <family val="3"/>
      <charset val="129"/>
    </font>
    <font>
      <b/>
      <sz val="16"/>
      <color theme="1"/>
      <name val="궁서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1" fontId="8" fillId="0" borderId="1" xfId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41" fontId="8" fillId="0" borderId="0" xfId="1" applyFont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/>
    </xf>
    <xf numFmtId="41" fontId="8" fillId="0" borderId="1" xfId="0" applyNumberFormat="1" applyFont="1" applyBorder="1" applyAlignment="1"/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>
      <alignment vertical="center"/>
    </xf>
    <xf numFmtId="176" fontId="7" fillId="0" borderId="1" xfId="0" applyNumberFormat="1" applyFont="1" applyBorder="1">
      <alignment vertical="center"/>
    </xf>
    <xf numFmtId="0" fontId="11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8" fillId="0" borderId="0" xfId="0" applyFont="1">
      <alignment vertical="center"/>
    </xf>
    <xf numFmtId="0" fontId="5" fillId="0" borderId="0" xfId="0" applyFont="1" applyAlignment="1">
      <alignment horizontal="left" vertical="center"/>
    </xf>
    <xf numFmtId="41" fontId="7" fillId="0" borderId="1" xfId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1" fontId="7" fillId="0" borderId="0" xfId="1" applyFont="1" applyBorder="1" applyAlignment="1">
      <alignment vertical="center"/>
    </xf>
    <xf numFmtId="9" fontId="0" fillId="0" borderId="0" xfId="0" applyNumberFormat="1">
      <alignment vertical="center"/>
    </xf>
    <xf numFmtId="41" fontId="0" fillId="0" borderId="6" xfId="0" applyNumberFormat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6" fillId="4" borderId="5" xfId="0" applyFont="1" applyFill="1" applyBorder="1" applyAlignment="1">
      <alignment horizontal="left" vertical="center"/>
    </xf>
    <xf numFmtId="0" fontId="17" fillId="4" borderId="5" xfId="0" applyFont="1" applyFill="1" applyBorder="1" applyAlignment="1">
      <alignment horizontal="left" vertical="center"/>
    </xf>
    <xf numFmtId="0" fontId="0" fillId="0" borderId="4" xfId="0" applyBorder="1">
      <alignment vertical="center"/>
    </xf>
    <xf numFmtId="0" fontId="18" fillId="5" borderId="0" xfId="0" applyFont="1" applyFill="1" applyAlignment="1">
      <alignment horizontal="left" vertical="center"/>
    </xf>
    <xf numFmtId="0" fontId="19" fillId="5" borderId="4" xfId="0" applyFont="1" applyFill="1" applyBorder="1" applyAlignment="1">
      <alignment horizontal="left" vertical="center"/>
    </xf>
    <xf numFmtId="0" fontId="20" fillId="5" borderId="4" xfId="0" applyFont="1" applyFill="1" applyBorder="1" applyAlignment="1">
      <alignment horizontal="left" vertical="center"/>
    </xf>
    <xf numFmtId="0" fontId="18" fillId="5" borderId="6" xfId="0" applyFont="1" applyFill="1" applyBorder="1" applyAlignment="1">
      <alignment horizontal="left" vertical="center"/>
    </xf>
    <xf numFmtId="0" fontId="16" fillId="4" borderId="5" xfId="0" applyFont="1" applyFill="1" applyBorder="1" applyAlignment="1">
      <alignment horizontal="right" vertical="center"/>
    </xf>
    <xf numFmtId="0" fontId="16" fillId="4" borderId="7" xfId="0" applyFont="1" applyFill="1" applyBorder="1" applyAlignment="1">
      <alignment horizontal="right" vertical="center"/>
    </xf>
    <xf numFmtId="9" fontId="0" fillId="6" borderId="0" xfId="0" applyNumberFormat="1" applyFill="1">
      <alignment vertical="center"/>
    </xf>
    <xf numFmtId="0" fontId="21" fillId="0" borderId="0" xfId="0" applyFont="1" applyAlignment="1">
      <alignment vertical="top" wrapText="1"/>
    </xf>
    <xf numFmtId="0" fontId="7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76" fontId="8" fillId="0" borderId="2" xfId="1" applyNumberFormat="1" applyFont="1" applyBorder="1" applyAlignment="1">
      <alignment horizontal="center" vertical="center"/>
    </xf>
    <xf numFmtId="176" fontId="8" fillId="0" borderId="3" xfId="1" applyNumberFormat="1" applyFont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</cellXfs>
  <cellStyles count="3">
    <cellStyle name="40% - 강조색5" xfId="2" builtinId="47"/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none" strike="noStrike" kern="1200" spc="0" baseline="0">
                <a:solidFill>
                  <a:srgbClr val="FF0000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600" b="1" i="1">
                <a:solidFill>
                  <a:srgbClr val="FF0000"/>
                </a:solidFill>
                <a:latin typeface="굴림체" panose="020B0609000101010101" pitchFamily="49" charset="-127"/>
                <a:ea typeface="굴림체" panose="020B0609000101010101" pitchFamily="49" charset="-127"/>
              </a:rPr>
              <a:t>밀 수입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none" strike="noStrike" kern="1200" spc="0" baseline="0">
              <a:solidFill>
                <a:srgbClr val="FF0000"/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 수량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7F-48AA-B638-08508D5E8B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24000</c:v>
                </c:pt>
                <c:pt idx="1">
                  <c:v>15000</c:v>
                </c:pt>
                <c:pt idx="2">
                  <c:v>15000</c:v>
                </c:pt>
                <c:pt idx="3">
                  <c:v>35000</c:v>
                </c:pt>
                <c:pt idx="4">
                  <c:v>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F-48AA-B638-08508D5E8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915040"/>
        <c:axId val="1375924192"/>
      </c:bar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 수입금액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차트작업!$E$4:$E$8</c:f>
              <c:numCache>
                <c:formatCode>_(* #,##0_);_(* \(#,##0\);_(* "-"_);_(@_)</c:formatCode>
                <c:ptCount val="5"/>
                <c:pt idx="0">
                  <c:v>8400000</c:v>
                </c:pt>
                <c:pt idx="1">
                  <c:v>5700000</c:v>
                </c:pt>
                <c:pt idx="2">
                  <c:v>5625000</c:v>
                </c:pt>
                <c:pt idx="3">
                  <c:v>12845000</c:v>
                </c:pt>
                <c:pt idx="4">
                  <c:v>12240000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F-48AA-B638-08508D5E8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589184"/>
        <c:axId val="1283588768"/>
      </c:lineChart>
      <c:catAx>
        <c:axId val="137591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5924192"/>
        <c:crosses val="autoZero"/>
        <c:auto val="1"/>
        <c:lblAlgn val="ctr"/>
        <c:lblOffset val="100"/>
        <c:noMultiLvlLbl val="0"/>
      </c:catAx>
      <c:valAx>
        <c:axId val="13759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5915040"/>
        <c:crosses val="autoZero"/>
        <c:crossBetween val="between"/>
      </c:valAx>
      <c:valAx>
        <c:axId val="128358876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3589184"/>
        <c:crosses val="max"/>
        <c:crossBetween val="between"/>
      </c:valAx>
      <c:catAx>
        <c:axId val="1283589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3588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[0]!평균" textlink="">
      <xdr:nvSpPr>
        <xdr:cNvPr id="4" name="사각형: 빗면 1">
          <a:extLst>
            <a:ext uri="{FF2B5EF4-FFF2-40B4-BE49-F238E27FC236}">
              <a16:creationId xmlns:a16="http://schemas.microsoft.com/office/drawing/2014/main" id="{E3A79FE0-40F8-EFAD-7BF1-5A4D810915AA}"/>
            </a:ext>
          </a:extLst>
        </xdr:cNvPr>
        <xdr:cNvSpPr/>
      </xdr:nvSpPr>
      <xdr:spPr>
        <a:xfrm>
          <a:off x="4953000" y="466725"/>
          <a:ext cx="137160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0</xdr:colOff>
      <xdr:row>7</xdr:row>
      <xdr:rowOff>0</xdr:rowOff>
    </xdr:to>
    <xdr:sp macro="[0]!서식" textlink="">
      <xdr:nvSpPr>
        <xdr:cNvPr id="5" name="웃는 얼굴 1">
          <a:extLst>
            <a:ext uri="{FF2B5EF4-FFF2-40B4-BE49-F238E27FC236}">
              <a16:creationId xmlns:a16="http://schemas.microsoft.com/office/drawing/2014/main" id="{B212F6F4-67A3-C81E-51EE-E68EC427FC09}"/>
            </a:ext>
          </a:extLst>
        </xdr:cNvPr>
        <xdr:cNvSpPr/>
      </xdr:nvSpPr>
      <xdr:spPr>
        <a:xfrm>
          <a:off x="4953000" y="1095375"/>
          <a:ext cx="1371600" cy="41910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인사자료_1" connectionId="1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/>
  <cols>
    <col min="3" max="3" width="14.375" bestFit="1" customWidth="1"/>
    <col min="6" max="6" width="10.375" bestFit="1" customWidth="1"/>
  </cols>
  <sheetData>
    <row r="1" spans="1:6">
      <c r="A1" t="s">
        <v>0</v>
      </c>
    </row>
    <row r="3" spans="1:6">
      <c r="A3" t="s">
        <v>213</v>
      </c>
      <c r="B3" t="s">
        <v>126</v>
      </c>
      <c r="C3" t="s">
        <v>214</v>
      </c>
      <c r="D3" t="s">
        <v>215</v>
      </c>
      <c r="E3" t="s">
        <v>216</v>
      </c>
      <c r="F3" t="s">
        <v>217</v>
      </c>
    </row>
    <row r="4" spans="1:6">
      <c r="A4" t="s">
        <v>218</v>
      </c>
      <c r="B4" t="s">
        <v>219</v>
      </c>
      <c r="C4" t="s">
        <v>220</v>
      </c>
      <c r="D4">
        <v>36</v>
      </c>
      <c r="E4">
        <v>1826200</v>
      </c>
      <c r="F4" t="s">
        <v>221</v>
      </c>
    </row>
    <row r="5" spans="1:6">
      <c r="A5" t="s">
        <v>222</v>
      </c>
      <c r="B5" t="s">
        <v>223</v>
      </c>
      <c r="C5" t="s">
        <v>224</v>
      </c>
      <c r="D5">
        <v>60</v>
      </c>
      <c r="E5">
        <v>2825000</v>
      </c>
      <c r="F5" t="s">
        <v>225</v>
      </c>
    </row>
    <row r="6" spans="1:6">
      <c r="A6" t="s">
        <v>226</v>
      </c>
      <c r="B6" t="s">
        <v>227</v>
      </c>
      <c r="C6" t="s">
        <v>228</v>
      </c>
      <c r="D6">
        <v>36</v>
      </c>
      <c r="E6">
        <v>3043700</v>
      </c>
      <c r="F6" t="s">
        <v>229</v>
      </c>
    </row>
    <row r="7" spans="1:6">
      <c r="A7" t="s">
        <v>230</v>
      </c>
      <c r="B7" t="s">
        <v>231</v>
      </c>
      <c r="C7" t="s">
        <v>232</v>
      </c>
      <c r="D7">
        <v>12</v>
      </c>
      <c r="E7">
        <v>2145000</v>
      </c>
      <c r="F7" t="s">
        <v>233</v>
      </c>
    </row>
    <row r="8" spans="1:6">
      <c r="A8" t="s">
        <v>234</v>
      </c>
      <c r="B8" t="s">
        <v>235</v>
      </c>
      <c r="C8" t="s">
        <v>236</v>
      </c>
      <c r="D8">
        <v>12</v>
      </c>
      <c r="E8">
        <v>3217500</v>
      </c>
      <c r="F8" t="s">
        <v>237</v>
      </c>
    </row>
    <row r="9" spans="1:6">
      <c r="A9" t="s">
        <v>238</v>
      </c>
      <c r="B9" t="s">
        <v>239</v>
      </c>
      <c r="C9" t="s">
        <v>240</v>
      </c>
      <c r="D9">
        <v>36</v>
      </c>
      <c r="E9">
        <v>1826200</v>
      </c>
      <c r="F9" t="s">
        <v>241</v>
      </c>
    </row>
    <row r="10" spans="1:6">
      <c r="A10" t="s">
        <v>242</v>
      </c>
      <c r="B10" t="s">
        <v>243</v>
      </c>
      <c r="C10" t="s">
        <v>244</v>
      </c>
      <c r="D10">
        <v>60</v>
      </c>
      <c r="E10">
        <v>2825000</v>
      </c>
      <c r="F10" t="s">
        <v>245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5"/>
  <sheetViews>
    <sheetView workbookViewId="0">
      <selection sqref="A1:E1"/>
    </sheetView>
  </sheetViews>
  <sheetFormatPr defaultRowHeight="16.5"/>
  <cols>
    <col min="3" max="3" width="9" customWidth="1"/>
    <col min="6" max="6" width="10.375" bestFit="1" customWidth="1"/>
  </cols>
  <sheetData>
    <row r="1" spans="1:5" ht="20.25">
      <c r="A1" s="46" t="s">
        <v>246</v>
      </c>
      <c r="B1" s="46"/>
      <c r="C1" s="46"/>
      <c r="D1" s="46"/>
      <c r="E1" s="46"/>
    </row>
    <row r="3" spans="1:5">
      <c r="A3" s="26" t="s">
        <v>2</v>
      </c>
      <c r="B3" s="26" t="s">
        <v>280</v>
      </c>
      <c r="C3" s="26" t="s">
        <v>279</v>
      </c>
      <c r="D3" s="26" t="s">
        <v>278</v>
      </c>
      <c r="E3" s="26" t="s">
        <v>277</v>
      </c>
    </row>
    <row r="4" spans="1:5">
      <c r="A4" s="25" t="s">
        <v>3</v>
      </c>
      <c r="B4" s="27">
        <v>1386</v>
      </c>
      <c r="C4" s="27">
        <v>1187</v>
      </c>
      <c r="D4" s="27">
        <v>1733</v>
      </c>
      <c r="E4" s="27">
        <v>1567</v>
      </c>
    </row>
    <row r="5" spans="1:5">
      <c r="A5" s="25" t="s">
        <v>4</v>
      </c>
      <c r="B5" s="27">
        <v>1171</v>
      </c>
      <c r="C5" s="27">
        <v>1249</v>
      </c>
      <c r="D5" s="27">
        <v>2397</v>
      </c>
      <c r="E5" s="27">
        <v>1980</v>
      </c>
    </row>
    <row r="6" spans="1:5">
      <c r="A6" s="25" t="s">
        <v>5</v>
      </c>
      <c r="B6" s="27">
        <v>878</v>
      </c>
      <c r="C6" s="27">
        <v>1087</v>
      </c>
      <c r="D6" s="27">
        <v>1377</v>
      </c>
      <c r="E6" s="27">
        <v>1678</v>
      </c>
    </row>
    <row r="7" spans="1:5">
      <c r="A7" s="25" t="s">
        <v>6</v>
      </c>
      <c r="B7" s="27">
        <v>1145</v>
      </c>
      <c r="C7" s="27">
        <v>1590</v>
      </c>
      <c r="D7" s="27">
        <v>1473</v>
      </c>
      <c r="E7" s="27">
        <v>1780</v>
      </c>
    </row>
    <row r="8" spans="1:5">
      <c r="A8" s="25" t="s">
        <v>7</v>
      </c>
      <c r="B8" s="27">
        <v>1130</v>
      </c>
      <c r="C8" s="27">
        <v>1511</v>
      </c>
      <c r="D8" s="27">
        <v>1430</v>
      </c>
      <c r="E8" s="27">
        <v>1345</v>
      </c>
    </row>
    <row r="9" spans="1:5">
      <c r="A9" s="25" t="s">
        <v>8</v>
      </c>
      <c r="B9" s="27">
        <v>829</v>
      </c>
      <c r="C9" s="27">
        <v>1708</v>
      </c>
      <c r="D9" s="27">
        <v>1455</v>
      </c>
      <c r="E9" s="27">
        <v>1534</v>
      </c>
    </row>
    <row r="10" spans="1:5">
      <c r="A10" s="25" t="s">
        <v>9</v>
      </c>
      <c r="B10" s="27">
        <v>1164</v>
      </c>
      <c r="C10" s="27">
        <v>1345</v>
      </c>
      <c r="D10" s="27">
        <v>1722</v>
      </c>
      <c r="E10" s="27">
        <v>1055</v>
      </c>
    </row>
    <row r="11" spans="1:5">
      <c r="A11" s="25" t="s">
        <v>10</v>
      </c>
      <c r="B11" s="27">
        <v>987</v>
      </c>
      <c r="C11" s="27">
        <v>1425</v>
      </c>
      <c r="D11" s="27">
        <v>1827</v>
      </c>
      <c r="E11" s="27">
        <v>1056</v>
      </c>
    </row>
    <row r="12" spans="1:5">
      <c r="A12" s="25" t="s">
        <v>11</v>
      </c>
      <c r="B12" s="27">
        <v>1023</v>
      </c>
      <c r="C12" s="27">
        <v>1238</v>
      </c>
      <c r="D12" s="27">
        <v>2078</v>
      </c>
      <c r="E12" s="27">
        <v>1879</v>
      </c>
    </row>
    <row r="13" spans="1:5">
      <c r="A13" s="25" t="s">
        <v>12</v>
      </c>
      <c r="B13" s="27">
        <v>1121</v>
      </c>
      <c r="C13" s="27">
        <v>913</v>
      </c>
      <c r="D13" s="27">
        <v>1577</v>
      </c>
      <c r="E13" s="27">
        <v>1530</v>
      </c>
    </row>
    <row r="14" spans="1:5">
      <c r="A14" s="25" t="s">
        <v>13</v>
      </c>
      <c r="B14" s="27">
        <v>1046</v>
      </c>
      <c r="C14" s="27">
        <v>994</v>
      </c>
      <c r="D14" s="27">
        <v>1917</v>
      </c>
      <c r="E14" s="27">
        <v>1789</v>
      </c>
    </row>
    <row r="15" spans="1:5">
      <c r="A15" s="25" t="s">
        <v>14</v>
      </c>
      <c r="B15" s="27">
        <v>1389</v>
      </c>
      <c r="C15" s="27">
        <v>1189</v>
      </c>
      <c r="D15" s="27">
        <v>2526</v>
      </c>
      <c r="E15" s="27">
        <v>2981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20"/>
  <sheetViews>
    <sheetView workbookViewId="0"/>
  </sheetViews>
  <sheetFormatPr defaultRowHeight="16.5"/>
  <cols>
    <col min="1" max="6" width="9" style="2"/>
    <col min="7" max="7" width="11" style="2" bestFit="1" customWidth="1"/>
    <col min="8" max="16384" width="9" style="1"/>
  </cols>
  <sheetData>
    <row r="1" spans="2:7" ht="20.25">
      <c r="B1" s="47" t="s">
        <v>210</v>
      </c>
      <c r="C1" s="47"/>
      <c r="D1" s="47"/>
      <c r="E1" s="47"/>
      <c r="F1" s="47"/>
      <c r="G1" s="47"/>
    </row>
    <row r="3" spans="2:7">
      <c r="B3" s="14" t="s">
        <v>15</v>
      </c>
      <c r="C3" s="14" t="s">
        <v>1</v>
      </c>
      <c r="D3" s="14" t="s">
        <v>30</v>
      </c>
      <c r="E3" s="14" t="s">
        <v>35</v>
      </c>
      <c r="F3" s="14" t="s">
        <v>36</v>
      </c>
      <c r="G3" s="14" t="s">
        <v>37</v>
      </c>
    </row>
    <row r="4" spans="2:7">
      <c r="B4" s="14">
        <v>1001</v>
      </c>
      <c r="C4" s="6" t="s">
        <v>22</v>
      </c>
      <c r="D4" s="6" t="s">
        <v>31</v>
      </c>
      <c r="E4" s="14" t="s">
        <v>18</v>
      </c>
      <c r="F4" s="14">
        <v>3</v>
      </c>
      <c r="G4" s="14" t="s">
        <v>38</v>
      </c>
    </row>
    <row r="5" spans="2:7">
      <c r="B5" s="14">
        <v>1002</v>
      </c>
      <c r="C5" s="6" t="s">
        <v>23</v>
      </c>
      <c r="D5" s="6" t="s">
        <v>32</v>
      </c>
      <c r="E5" s="14" t="s">
        <v>19</v>
      </c>
      <c r="F5" s="14">
        <v>2</v>
      </c>
      <c r="G5" s="14" t="s">
        <v>38</v>
      </c>
    </row>
    <row r="6" spans="2:7">
      <c r="B6" s="14">
        <v>1003</v>
      </c>
      <c r="C6" s="6" t="s">
        <v>24</v>
      </c>
      <c r="D6" s="6" t="s">
        <v>31</v>
      </c>
      <c r="E6" s="14" t="s">
        <v>20</v>
      </c>
      <c r="F6" s="14">
        <v>1</v>
      </c>
      <c r="G6" s="14" t="s">
        <v>39</v>
      </c>
    </row>
    <row r="7" spans="2:7">
      <c r="B7" s="14">
        <v>2004</v>
      </c>
      <c r="C7" s="6" t="s">
        <v>25</v>
      </c>
      <c r="D7" s="6" t="s">
        <v>31</v>
      </c>
      <c r="E7" s="14" t="s">
        <v>18</v>
      </c>
      <c r="F7" s="14">
        <v>4</v>
      </c>
      <c r="G7" s="14" t="s">
        <v>40</v>
      </c>
    </row>
    <row r="8" spans="2:7">
      <c r="B8" s="14">
        <v>2005</v>
      </c>
      <c r="C8" s="6" t="s">
        <v>26</v>
      </c>
      <c r="D8" s="6" t="s">
        <v>32</v>
      </c>
      <c r="E8" s="14" t="s">
        <v>18</v>
      </c>
      <c r="F8" s="14">
        <v>2</v>
      </c>
      <c r="G8" s="14" t="s">
        <v>40</v>
      </c>
    </row>
    <row r="9" spans="2:7">
      <c r="B9" s="14">
        <v>2006</v>
      </c>
      <c r="C9" s="6" t="s">
        <v>34</v>
      </c>
      <c r="D9" s="6" t="s">
        <v>32</v>
      </c>
      <c r="E9" s="14" t="s">
        <v>19</v>
      </c>
      <c r="F9" s="14">
        <v>4</v>
      </c>
      <c r="G9" s="14" t="s">
        <v>39</v>
      </c>
    </row>
    <row r="10" spans="2:7">
      <c r="B10" s="14">
        <v>3007</v>
      </c>
      <c r="C10" s="6" t="s">
        <v>16</v>
      </c>
      <c r="D10" s="6" t="s">
        <v>31</v>
      </c>
      <c r="E10" s="14" t="s">
        <v>21</v>
      </c>
      <c r="F10" s="14">
        <v>3</v>
      </c>
      <c r="G10" s="14" t="s">
        <v>27</v>
      </c>
    </row>
    <row r="11" spans="2:7">
      <c r="B11" s="14">
        <v>3008</v>
      </c>
      <c r="C11" s="6" t="s">
        <v>17</v>
      </c>
      <c r="D11" s="6" t="s">
        <v>31</v>
      </c>
      <c r="E11" s="14" t="s">
        <v>21</v>
      </c>
      <c r="F11" s="14">
        <v>2</v>
      </c>
      <c r="G11" s="14" t="s">
        <v>28</v>
      </c>
    </row>
    <row r="12" spans="2:7">
      <c r="B12" s="14">
        <v>3009</v>
      </c>
      <c r="C12" s="6" t="s">
        <v>33</v>
      </c>
      <c r="D12" s="6" t="s">
        <v>32</v>
      </c>
      <c r="E12" s="14" t="s">
        <v>18</v>
      </c>
      <c r="F12" s="14">
        <v>3</v>
      </c>
      <c r="G12" s="14" t="s">
        <v>29</v>
      </c>
    </row>
    <row r="14" spans="2:7">
      <c r="B14" s="2" t="s">
        <v>247</v>
      </c>
      <c r="C14" s="2" t="s">
        <v>249</v>
      </c>
    </row>
    <row r="15" spans="2:7">
      <c r="B15" s="2" t="s">
        <v>248</v>
      </c>
      <c r="C15" s="2" t="s">
        <v>250</v>
      </c>
    </row>
    <row r="18" spans="2:7">
      <c r="B18" s="14" t="s">
        <v>15</v>
      </c>
      <c r="C18" s="14" t="s">
        <v>1</v>
      </c>
      <c r="D18" s="14" t="s">
        <v>30</v>
      </c>
      <c r="E18" s="14" t="s">
        <v>35</v>
      </c>
      <c r="F18" s="14" t="s">
        <v>36</v>
      </c>
      <c r="G18" s="14" t="s">
        <v>37</v>
      </c>
    </row>
    <row r="19" spans="2:7">
      <c r="B19" s="14">
        <v>1001</v>
      </c>
      <c r="C19" s="6" t="s">
        <v>22</v>
      </c>
      <c r="D19" s="6" t="s">
        <v>31</v>
      </c>
      <c r="E19" s="14" t="s">
        <v>18</v>
      </c>
      <c r="F19" s="14">
        <v>3</v>
      </c>
      <c r="G19" s="14" t="s">
        <v>38</v>
      </c>
    </row>
    <row r="20" spans="2:7">
      <c r="B20" s="14">
        <v>2004</v>
      </c>
      <c r="C20" s="6" t="s">
        <v>25</v>
      </c>
      <c r="D20" s="6" t="s">
        <v>31</v>
      </c>
      <c r="E20" s="14" t="s">
        <v>18</v>
      </c>
      <c r="F20" s="14">
        <v>4</v>
      </c>
      <c r="G20" s="14" t="s">
        <v>40</v>
      </c>
    </row>
  </sheetData>
  <mergeCells count="1">
    <mergeCell ref="B1:G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6"/>
  <sheetViews>
    <sheetView workbookViewId="0"/>
  </sheetViews>
  <sheetFormatPr defaultRowHeight="16.5"/>
  <cols>
    <col min="3" max="4" width="11.625" customWidth="1"/>
    <col min="5" max="5" width="3.625" customWidth="1"/>
    <col min="6" max="6" width="9" customWidth="1"/>
    <col min="7" max="8" width="10.625" bestFit="1" customWidth="1"/>
    <col min="9" max="9" width="11.875" bestFit="1" customWidth="1"/>
    <col min="10" max="10" width="10.625" bestFit="1" customWidth="1"/>
  </cols>
  <sheetData>
    <row r="1" spans="1:11">
      <c r="A1" s="19" t="s">
        <v>59</v>
      </c>
      <c r="B1" s="20" t="s">
        <v>85</v>
      </c>
      <c r="C1" s="21"/>
      <c r="F1" s="19" t="s">
        <v>66</v>
      </c>
      <c r="G1" s="22" t="s">
        <v>211</v>
      </c>
      <c r="H1" s="19"/>
      <c r="I1" s="21"/>
      <c r="J1" s="20"/>
      <c r="K1" s="21"/>
    </row>
    <row r="2" spans="1:11" ht="16.5" customHeight="1">
      <c r="A2" s="6" t="s">
        <v>41</v>
      </c>
      <c r="B2" s="6" t="s">
        <v>83</v>
      </c>
      <c r="C2" s="6" t="s">
        <v>84</v>
      </c>
      <c r="D2" s="5" t="s">
        <v>82</v>
      </c>
      <c r="F2" s="4" t="s">
        <v>97</v>
      </c>
      <c r="G2" s="4" t="s">
        <v>61</v>
      </c>
      <c r="H2" s="4" t="s">
        <v>62</v>
      </c>
      <c r="I2" s="4" t="s">
        <v>63</v>
      </c>
      <c r="J2" s="4" t="s">
        <v>64</v>
      </c>
      <c r="K2" s="5" t="s">
        <v>65</v>
      </c>
    </row>
    <row r="3" spans="1:11">
      <c r="A3" s="6" t="s">
        <v>42</v>
      </c>
      <c r="B3" s="6">
        <v>1</v>
      </c>
      <c r="C3" s="6">
        <v>85</v>
      </c>
      <c r="D3" s="6" t="str">
        <f>CHOOSE(_xlfn.RANK.EQ(C3,$C$3:$C$10,0),"대상","금상","은상","동상","","","","")</f>
        <v/>
      </c>
      <c r="F3" s="6" t="s">
        <v>98</v>
      </c>
      <c r="G3" s="7">
        <v>2600</v>
      </c>
      <c r="H3" s="7">
        <v>2865</v>
      </c>
      <c r="I3" s="7">
        <v>2600</v>
      </c>
      <c r="J3" s="7">
        <v>2280</v>
      </c>
      <c r="K3" s="6" t="str">
        <f>IF(AND(H3&gt;=G3,J3&gt;=I3),"보너스","")</f>
        <v/>
      </c>
    </row>
    <row r="4" spans="1:11">
      <c r="A4" s="6" t="s">
        <v>43</v>
      </c>
      <c r="B4" s="6">
        <v>3</v>
      </c>
      <c r="C4" s="6">
        <v>78</v>
      </c>
      <c r="D4" s="6" t="str">
        <f t="shared" ref="D4:D10" si="0">CHOOSE(_xlfn.RANK.EQ(C4,$C$3:$C$10,0),"대상","금상","은상","동상","","","","")</f>
        <v/>
      </c>
      <c r="F4" s="6" t="s">
        <v>99</v>
      </c>
      <c r="G4" s="7">
        <v>3500</v>
      </c>
      <c r="H4" s="7">
        <v>3333</v>
      </c>
      <c r="I4" s="7">
        <v>3500</v>
      </c>
      <c r="J4" s="7">
        <v>2050</v>
      </c>
      <c r="K4" s="6" t="str">
        <f t="shared" ref="K4:K11" si="1">IF(AND(H4&gt;=G4,J4&gt;=I4),"보너스","")</f>
        <v/>
      </c>
    </row>
    <row r="5" spans="1:11">
      <c r="A5" s="6" t="s">
        <v>44</v>
      </c>
      <c r="B5" s="6">
        <v>2</v>
      </c>
      <c r="C5" s="6">
        <v>91</v>
      </c>
      <c r="D5" s="6" t="str">
        <f t="shared" si="0"/>
        <v>은상</v>
      </c>
      <c r="F5" s="6" t="s">
        <v>100</v>
      </c>
      <c r="G5" s="7">
        <v>2900</v>
      </c>
      <c r="H5" s="7">
        <v>3010</v>
      </c>
      <c r="I5" s="7">
        <v>2900</v>
      </c>
      <c r="J5" s="7">
        <v>2860</v>
      </c>
      <c r="K5" s="6" t="str">
        <f t="shared" si="1"/>
        <v/>
      </c>
    </row>
    <row r="6" spans="1:11">
      <c r="A6" s="6" t="s">
        <v>45</v>
      </c>
      <c r="B6" s="6">
        <v>2</v>
      </c>
      <c r="C6" s="6">
        <v>88</v>
      </c>
      <c r="D6" s="6" t="str">
        <f t="shared" si="0"/>
        <v/>
      </c>
      <c r="F6" s="6" t="s">
        <v>101</v>
      </c>
      <c r="G6" s="7">
        <v>2800</v>
      </c>
      <c r="H6" s="7">
        <v>3123</v>
      </c>
      <c r="I6" s="7">
        <v>2800</v>
      </c>
      <c r="J6" s="7">
        <v>3040</v>
      </c>
      <c r="K6" s="6" t="str">
        <f t="shared" si="1"/>
        <v>보너스</v>
      </c>
    </row>
    <row r="7" spans="1:11">
      <c r="A7" s="6" t="s">
        <v>46</v>
      </c>
      <c r="B7" s="6">
        <v>3</v>
      </c>
      <c r="C7" s="6">
        <v>95</v>
      </c>
      <c r="D7" s="6" t="str">
        <f t="shared" si="0"/>
        <v>금상</v>
      </c>
      <c r="F7" s="6" t="s">
        <v>102</v>
      </c>
      <c r="G7" s="7">
        <v>3100</v>
      </c>
      <c r="H7" s="7">
        <v>3301</v>
      </c>
      <c r="I7" s="7">
        <v>3100</v>
      </c>
      <c r="J7" s="7">
        <v>3029</v>
      </c>
      <c r="K7" s="6" t="str">
        <f t="shared" si="1"/>
        <v/>
      </c>
    </row>
    <row r="8" spans="1:11">
      <c r="A8" s="6" t="s">
        <v>47</v>
      </c>
      <c r="B8" s="6">
        <v>1</v>
      </c>
      <c r="C8" s="6">
        <v>98</v>
      </c>
      <c r="D8" s="6" t="str">
        <f t="shared" si="0"/>
        <v>대상</v>
      </c>
      <c r="F8" s="6" t="s">
        <v>103</v>
      </c>
      <c r="G8" s="7">
        <v>3200</v>
      </c>
      <c r="H8" s="7">
        <v>3160</v>
      </c>
      <c r="I8" s="7">
        <v>3200</v>
      </c>
      <c r="J8" s="7">
        <v>2999</v>
      </c>
      <c r="K8" s="6" t="str">
        <f t="shared" si="1"/>
        <v/>
      </c>
    </row>
    <row r="9" spans="1:11">
      <c r="A9" s="6" t="s">
        <v>48</v>
      </c>
      <c r="B9" s="6">
        <v>1</v>
      </c>
      <c r="C9" s="6">
        <v>77</v>
      </c>
      <c r="D9" s="6" t="str">
        <f t="shared" si="0"/>
        <v/>
      </c>
      <c r="F9" s="6" t="s">
        <v>104</v>
      </c>
      <c r="G9" s="7">
        <v>2700</v>
      </c>
      <c r="H9" s="7">
        <v>2998</v>
      </c>
      <c r="I9" s="7">
        <v>2700</v>
      </c>
      <c r="J9" s="7">
        <v>2883</v>
      </c>
      <c r="K9" s="6" t="str">
        <f t="shared" si="1"/>
        <v>보너스</v>
      </c>
    </row>
    <row r="10" spans="1:11">
      <c r="A10" s="6" t="s">
        <v>49</v>
      </c>
      <c r="B10" s="6">
        <v>3</v>
      </c>
      <c r="C10" s="6">
        <v>90</v>
      </c>
      <c r="D10" s="6" t="str">
        <f t="shared" si="0"/>
        <v>동상</v>
      </c>
      <c r="F10" s="6" t="s">
        <v>105</v>
      </c>
      <c r="G10" s="7">
        <v>2800</v>
      </c>
      <c r="H10" s="7">
        <v>3003</v>
      </c>
      <c r="I10" s="7">
        <v>2800</v>
      </c>
      <c r="J10" s="7">
        <v>3512</v>
      </c>
      <c r="K10" s="6" t="str">
        <f t="shared" si="1"/>
        <v>보너스</v>
      </c>
    </row>
    <row r="11" spans="1:11">
      <c r="F11" s="6" t="s">
        <v>106</v>
      </c>
      <c r="G11" s="7">
        <v>2300</v>
      </c>
      <c r="H11" s="7">
        <v>2643</v>
      </c>
      <c r="I11" s="7">
        <v>2300</v>
      </c>
      <c r="J11" s="7">
        <v>2639</v>
      </c>
      <c r="K11" s="6" t="str">
        <f t="shared" si="1"/>
        <v>보너스</v>
      </c>
    </row>
    <row r="12" spans="1:11">
      <c r="A12" s="19" t="s">
        <v>67</v>
      </c>
      <c r="B12" s="20" t="s">
        <v>50</v>
      </c>
      <c r="C12" s="21"/>
      <c r="D12" s="21"/>
    </row>
    <row r="13" spans="1:11">
      <c r="A13" s="6" t="s">
        <v>87</v>
      </c>
      <c r="B13" s="6" t="s">
        <v>52</v>
      </c>
      <c r="C13" s="6" t="s">
        <v>53</v>
      </c>
      <c r="D13" s="6" t="s">
        <v>54</v>
      </c>
      <c r="F13" s="19" t="s">
        <v>51</v>
      </c>
      <c r="G13" s="20" t="s">
        <v>212</v>
      </c>
      <c r="H13" s="21"/>
      <c r="I13" s="21"/>
    </row>
    <row r="14" spans="1:11">
      <c r="A14" s="6" t="s">
        <v>88</v>
      </c>
      <c r="B14" s="6" t="s">
        <v>55</v>
      </c>
      <c r="C14" s="7">
        <v>678</v>
      </c>
      <c r="D14" s="7">
        <f>C14*200</f>
        <v>135600</v>
      </c>
      <c r="F14" s="6" t="s">
        <v>68</v>
      </c>
      <c r="G14" s="6" t="s">
        <v>81</v>
      </c>
      <c r="H14" s="6" t="s">
        <v>77</v>
      </c>
      <c r="I14" s="5" t="s">
        <v>78</v>
      </c>
    </row>
    <row r="15" spans="1:11">
      <c r="A15" s="6" t="s">
        <v>91</v>
      </c>
      <c r="B15" s="6" t="s">
        <v>56</v>
      </c>
      <c r="C15" s="7">
        <v>534</v>
      </c>
      <c r="D15" s="7">
        <f t="shared" ref="D15:D22" si="2">C15*200</f>
        <v>106800</v>
      </c>
      <c r="F15" s="6" t="s">
        <v>69</v>
      </c>
      <c r="G15" s="6">
        <v>23</v>
      </c>
      <c r="H15" s="7">
        <v>650000</v>
      </c>
      <c r="I15" s="7">
        <f>G15*H15*(1-HLOOKUP(H15,$G$24:$K$25,2,TRUE))</f>
        <v>13754000</v>
      </c>
    </row>
    <row r="16" spans="1:11">
      <c r="A16" s="6" t="s">
        <v>94</v>
      </c>
      <c r="B16" s="6" t="s">
        <v>57</v>
      </c>
      <c r="C16" s="7">
        <v>1234</v>
      </c>
      <c r="D16" s="7">
        <f t="shared" si="2"/>
        <v>246800</v>
      </c>
      <c r="F16" s="6" t="s">
        <v>70</v>
      </c>
      <c r="G16" s="6">
        <v>43</v>
      </c>
      <c r="H16" s="7">
        <v>300000</v>
      </c>
      <c r="I16" s="7">
        <f t="shared" ref="I16:I21" si="3">G16*H16*(1-HLOOKUP(H16,$G$24:$K$25,2,TRUE))</f>
        <v>12255000</v>
      </c>
    </row>
    <row r="17" spans="1:11">
      <c r="A17" s="6" t="s">
        <v>95</v>
      </c>
      <c r="B17" s="6" t="s">
        <v>57</v>
      </c>
      <c r="C17" s="7">
        <v>1090</v>
      </c>
      <c r="D17" s="7">
        <f t="shared" si="2"/>
        <v>218000</v>
      </c>
      <c r="F17" s="6" t="s">
        <v>71</v>
      </c>
      <c r="G17" s="6">
        <v>12</v>
      </c>
      <c r="H17" s="7">
        <v>350000</v>
      </c>
      <c r="I17" s="7">
        <f t="shared" si="3"/>
        <v>3990000</v>
      </c>
    </row>
    <row r="18" spans="1:11">
      <c r="A18" s="6" t="s">
        <v>92</v>
      </c>
      <c r="B18" s="6" t="s">
        <v>56</v>
      </c>
      <c r="C18" s="7">
        <v>689</v>
      </c>
      <c r="D18" s="7">
        <f t="shared" si="2"/>
        <v>137800</v>
      </c>
      <c r="F18" s="6" t="s">
        <v>72</v>
      </c>
      <c r="G18" s="6">
        <v>58</v>
      </c>
      <c r="H18" s="7">
        <v>880000</v>
      </c>
      <c r="I18" s="7">
        <f t="shared" si="3"/>
        <v>46956800</v>
      </c>
    </row>
    <row r="19" spans="1:11">
      <c r="A19" s="6" t="s">
        <v>89</v>
      </c>
      <c r="B19" s="6" t="s">
        <v>55</v>
      </c>
      <c r="C19" s="7">
        <v>532</v>
      </c>
      <c r="D19" s="7">
        <f t="shared" si="2"/>
        <v>106400</v>
      </c>
      <c r="F19" s="6" t="s">
        <v>73</v>
      </c>
      <c r="G19" s="6">
        <v>25</v>
      </c>
      <c r="H19" s="7">
        <v>1650000</v>
      </c>
      <c r="I19" s="7">
        <f t="shared" si="3"/>
        <v>33825000</v>
      </c>
    </row>
    <row r="20" spans="1:11">
      <c r="A20" s="6" t="s">
        <v>93</v>
      </c>
      <c r="B20" s="6" t="s">
        <v>56</v>
      </c>
      <c r="C20" s="7">
        <v>966</v>
      </c>
      <c r="D20" s="7">
        <f t="shared" si="2"/>
        <v>193200</v>
      </c>
      <c r="F20" s="6" t="s">
        <v>74</v>
      </c>
      <c r="G20" s="6">
        <v>38</v>
      </c>
      <c r="H20" s="7">
        <v>1200000</v>
      </c>
      <c r="I20" s="7">
        <f t="shared" si="3"/>
        <v>38760000</v>
      </c>
    </row>
    <row r="21" spans="1:11">
      <c r="A21" s="6" t="s">
        <v>96</v>
      </c>
      <c r="B21" s="6" t="s">
        <v>57</v>
      </c>
      <c r="C21" s="7">
        <v>1345</v>
      </c>
      <c r="D21" s="7">
        <f t="shared" si="2"/>
        <v>269000</v>
      </c>
      <c r="F21" s="6" t="s">
        <v>75</v>
      </c>
      <c r="G21" s="6">
        <v>43</v>
      </c>
      <c r="H21" s="7">
        <v>1000000</v>
      </c>
      <c r="I21" s="7">
        <f t="shared" si="3"/>
        <v>37840000</v>
      </c>
    </row>
    <row r="22" spans="1:11">
      <c r="A22" s="6" t="s">
        <v>90</v>
      </c>
      <c r="B22" s="6" t="s">
        <v>55</v>
      </c>
      <c r="C22" s="7">
        <v>775</v>
      </c>
      <c r="D22" s="7">
        <f t="shared" si="2"/>
        <v>155000</v>
      </c>
    </row>
    <row r="23" spans="1:11">
      <c r="A23" s="8"/>
      <c r="B23" s="8"/>
      <c r="C23" s="9"/>
      <c r="D23" s="9"/>
      <c r="F23" s="19" t="s">
        <v>76</v>
      </c>
    </row>
    <row r="24" spans="1:11">
      <c r="A24" s="8"/>
      <c r="B24" s="6" t="s">
        <v>52</v>
      </c>
      <c r="C24" s="48" t="s">
        <v>60</v>
      </c>
      <c r="D24" s="48"/>
      <c r="F24" s="6" t="s">
        <v>79</v>
      </c>
      <c r="G24" s="6">
        <v>300000</v>
      </c>
      <c r="H24" s="6">
        <v>600000</v>
      </c>
      <c r="I24" s="6">
        <v>900000</v>
      </c>
      <c r="J24" s="6">
        <v>1200000</v>
      </c>
      <c r="K24" s="6">
        <v>1500000</v>
      </c>
    </row>
    <row r="25" spans="1:11">
      <c r="A25" s="8"/>
      <c r="B25" s="6" t="s">
        <v>56</v>
      </c>
      <c r="C25" s="49">
        <f>ROUNDDOWN(DAVERAGE(A13:D22,D13,B24:B25),-3)</f>
        <v>145000</v>
      </c>
      <c r="D25" s="50"/>
      <c r="F25" s="6" t="s">
        <v>80</v>
      </c>
      <c r="G25" s="10">
        <v>0.05</v>
      </c>
      <c r="H25" s="10">
        <v>0.08</v>
      </c>
      <c r="I25" s="10">
        <v>0.12</v>
      </c>
      <c r="J25" s="10">
        <v>0.15</v>
      </c>
      <c r="K25" s="10">
        <v>0.18</v>
      </c>
    </row>
    <row r="27" spans="1:11">
      <c r="A27" s="19" t="s">
        <v>58</v>
      </c>
      <c r="B27" s="20" t="s">
        <v>86</v>
      </c>
      <c r="C27" s="21"/>
    </row>
    <row r="28" spans="1:11">
      <c r="A28" s="6" t="s">
        <v>41</v>
      </c>
      <c r="B28" s="6" t="s">
        <v>115</v>
      </c>
      <c r="C28" s="6" t="s">
        <v>116</v>
      </c>
      <c r="D28" s="6" t="s">
        <v>117</v>
      </c>
    </row>
    <row r="29" spans="1:11">
      <c r="A29" s="6" t="s">
        <v>107</v>
      </c>
      <c r="B29" s="6" t="s">
        <v>118</v>
      </c>
      <c r="C29" s="6" t="s">
        <v>120</v>
      </c>
      <c r="D29" s="7">
        <v>3657800</v>
      </c>
    </row>
    <row r="30" spans="1:11">
      <c r="A30" s="6" t="s">
        <v>108</v>
      </c>
      <c r="B30" s="6" t="s">
        <v>119</v>
      </c>
      <c r="C30" s="6" t="s">
        <v>121</v>
      </c>
      <c r="D30" s="7">
        <v>2473600</v>
      </c>
    </row>
    <row r="31" spans="1:11">
      <c r="A31" s="6" t="s">
        <v>109</v>
      </c>
      <c r="B31" s="6" t="s">
        <v>118</v>
      </c>
      <c r="C31" s="6" t="s">
        <v>122</v>
      </c>
      <c r="D31" s="7">
        <v>2190800</v>
      </c>
    </row>
    <row r="32" spans="1:11">
      <c r="A32" s="6" t="s">
        <v>110</v>
      </c>
      <c r="B32" s="6" t="s">
        <v>119</v>
      </c>
      <c r="C32" s="6" t="s">
        <v>122</v>
      </c>
      <c r="D32" s="7">
        <v>2273500</v>
      </c>
    </row>
    <row r="33" spans="1:7">
      <c r="A33" s="6" t="s">
        <v>111</v>
      </c>
      <c r="B33" s="6" t="s">
        <v>118</v>
      </c>
      <c r="C33" s="6" t="s">
        <v>123</v>
      </c>
      <c r="D33" s="7">
        <v>3209400</v>
      </c>
    </row>
    <row r="34" spans="1:7">
      <c r="A34" s="6" t="s">
        <v>112</v>
      </c>
      <c r="B34" s="6" t="s">
        <v>119</v>
      </c>
      <c r="C34" s="6" t="s">
        <v>121</v>
      </c>
      <c r="D34" s="7">
        <v>2650000</v>
      </c>
    </row>
    <row r="35" spans="1:7">
      <c r="A35" s="6" t="s">
        <v>113</v>
      </c>
      <c r="B35" s="6" t="s">
        <v>118</v>
      </c>
      <c r="C35" s="6" t="s">
        <v>121</v>
      </c>
      <c r="D35" s="7">
        <v>2495800</v>
      </c>
      <c r="F35" s="51" t="s">
        <v>124</v>
      </c>
      <c r="G35" s="52"/>
    </row>
    <row r="36" spans="1:7">
      <c r="A36" s="6" t="s">
        <v>114</v>
      </c>
      <c r="B36" s="6" t="s">
        <v>118</v>
      </c>
      <c r="C36" s="6" t="s">
        <v>123</v>
      </c>
      <c r="D36" s="7">
        <v>3199000</v>
      </c>
      <c r="F36" s="53">
        <f>ROUNDUP(SUMIF(C29:C36,"대리",D29:D36)/COUNTIF(C29:C36,"대리"),-4)</f>
        <v>2540000</v>
      </c>
      <c r="G36" s="54"/>
    </row>
  </sheetData>
  <mergeCells count="4">
    <mergeCell ref="C24:D24"/>
    <mergeCell ref="C25:D25"/>
    <mergeCell ref="F35:G35"/>
    <mergeCell ref="F36:G36"/>
  </mergeCells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1.875" bestFit="1" customWidth="1" outlineLevel="1"/>
  </cols>
  <sheetData>
    <row r="1" spans="2:6" ht="17.25" thickBot="1"/>
    <row r="2" spans="2:6">
      <c r="B2" s="34" t="s">
        <v>270</v>
      </c>
      <c r="C2" s="35"/>
      <c r="D2" s="41"/>
      <c r="E2" s="41"/>
      <c r="F2" s="41"/>
    </row>
    <row r="3" spans="2:6" collapsed="1">
      <c r="B3" s="33"/>
      <c r="C3" s="33"/>
      <c r="D3" s="42" t="s">
        <v>272</v>
      </c>
      <c r="E3" s="42" t="s">
        <v>268</v>
      </c>
      <c r="F3" s="42" t="s">
        <v>269</v>
      </c>
    </row>
    <row r="4" spans="2:6" hidden="1" outlineLevel="1">
      <c r="B4" s="37"/>
      <c r="C4" s="37"/>
      <c r="E4" s="44"/>
      <c r="F4" s="44"/>
    </row>
    <row r="5" spans="2:6">
      <c r="B5" s="38" t="s">
        <v>271</v>
      </c>
      <c r="C5" s="39"/>
      <c r="D5" s="36"/>
      <c r="E5" s="36"/>
      <c r="F5" s="36"/>
    </row>
    <row r="6" spans="2:6" outlineLevel="1">
      <c r="B6" s="37"/>
      <c r="C6" s="37" t="s">
        <v>266</v>
      </c>
      <c r="D6" s="31">
        <v>0.6</v>
      </c>
      <c r="E6" s="43">
        <v>0.7</v>
      </c>
      <c r="F6" s="43">
        <v>0.5</v>
      </c>
    </row>
    <row r="7" spans="2:6">
      <c r="B7" s="38" t="s">
        <v>273</v>
      </c>
      <c r="C7" s="39"/>
      <c r="D7" s="36"/>
      <c r="E7" s="36"/>
      <c r="F7" s="36"/>
    </row>
    <row r="8" spans="2:6" ht="17.25" outlineLevel="1" thickBot="1">
      <c r="B8" s="40"/>
      <c r="C8" s="40" t="s">
        <v>267</v>
      </c>
      <c r="D8" s="32">
        <v>36121200</v>
      </c>
      <c r="E8" s="32">
        <v>42141400</v>
      </c>
      <c r="F8" s="32">
        <v>30101000</v>
      </c>
    </row>
    <row r="9" spans="2:6">
      <c r="B9" t="s">
        <v>274</v>
      </c>
    </row>
    <row r="10" spans="2:6">
      <c r="B10" t="s">
        <v>275</v>
      </c>
    </row>
    <row r="11" spans="2:6">
      <c r="B11" t="s">
        <v>276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6"/>
  <sheetViews>
    <sheetView workbookViewId="0">
      <selection sqref="A1:F1"/>
    </sheetView>
  </sheetViews>
  <sheetFormatPr defaultRowHeight="16.5"/>
  <cols>
    <col min="1" max="1" width="9" style="1"/>
    <col min="2" max="3" width="11.25" style="1" bestFit="1" customWidth="1"/>
    <col min="4" max="4" width="9" style="1"/>
    <col min="5" max="5" width="11.875" style="1" bestFit="1" customWidth="1"/>
    <col min="6" max="7" width="10.875" style="1" bestFit="1" customWidth="1"/>
    <col min="8" max="16384" width="9" style="1"/>
  </cols>
  <sheetData>
    <row r="1" spans="1:7" ht="20.25">
      <c r="A1" s="56" t="s">
        <v>173</v>
      </c>
      <c r="B1" s="56"/>
      <c r="C1" s="56"/>
      <c r="D1" s="56"/>
      <c r="E1" s="56"/>
      <c r="F1" s="56"/>
      <c r="G1" s="18"/>
    </row>
    <row r="3" spans="1:7">
      <c r="A3" s="3" t="s">
        <v>148</v>
      </c>
      <c r="B3" s="3" t="s">
        <v>172</v>
      </c>
      <c r="C3" s="3" t="s">
        <v>155</v>
      </c>
      <c r="D3" s="3" t="s">
        <v>156</v>
      </c>
      <c r="E3" s="3" t="s">
        <v>157</v>
      </c>
      <c r="F3" s="3" t="s">
        <v>171</v>
      </c>
    </row>
    <row r="4" spans="1:7">
      <c r="A4" s="3" t="s">
        <v>149</v>
      </c>
      <c r="B4" s="11" t="s">
        <v>161</v>
      </c>
      <c r="C4" s="12">
        <v>187600</v>
      </c>
      <c r="D4" s="13">
        <v>20</v>
      </c>
      <c r="E4" s="15">
        <f>C4*D4</f>
        <v>3752000</v>
      </c>
      <c r="F4" s="15">
        <f>E4*$F$16</f>
        <v>2251200</v>
      </c>
    </row>
    <row r="5" spans="1:7">
      <c r="A5" s="3" t="s">
        <v>150</v>
      </c>
      <c r="B5" s="11" t="s">
        <v>163</v>
      </c>
      <c r="C5" s="12">
        <v>146700</v>
      </c>
      <c r="D5" s="13">
        <v>38</v>
      </c>
      <c r="E5" s="15">
        <f t="shared" ref="E5:E13" si="0">C5*D5</f>
        <v>5574600</v>
      </c>
      <c r="F5" s="15">
        <f t="shared" ref="F5:F13" si="1">E5*$F$16</f>
        <v>3344760</v>
      </c>
    </row>
    <row r="6" spans="1:7">
      <c r="A6" s="3" t="s">
        <v>151</v>
      </c>
      <c r="B6" s="11" t="s">
        <v>164</v>
      </c>
      <c r="C6" s="12">
        <v>345000</v>
      </c>
      <c r="D6" s="13">
        <v>22</v>
      </c>
      <c r="E6" s="15">
        <f t="shared" si="0"/>
        <v>7590000</v>
      </c>
      <c r="F6" s="15">
        <f t="shared" si="1"/>
        <v>4554000</v>
      </c>
    </row>
    <row r="7" spans="1:7">
      <c r="A7" s="3" t="s">
        <v>149</v>
      </c>
      <c r="B7" s="11" t="s">
        <v>165</v>
      </c>
      <c r="C7" s="12">
        <v>187600</v>
      </c>
      <c r="D7" s="13">
        <v>23</v>
      </c>
      <c r="E7" s="15">
        <f t="shared" si="0"/>
        <v>4314800</v>
      </c>
      <c r="F7" s="15">
        <f t="shared" si="1"/>
        <v>2588880</v>
      </c>
    </row>
    <row r="8" spans="1:7">
      <c r="A8" s="3" t="s">
        <v>152</v>
      </c>
      <c r="B8" s="11" t="s">
        <v>167</v>
      </c>
      <c r="C8" s="12">
        <v>245000</v>
      </c>
      <c r="D8" s="13">
        <v>27</v>
      </c>
      <c r="E8" s="15">
        <f t="shared" si="0"/>
        <v>6615000</v>
      </c>
      <c r="F8" s="15">
        <f t="shared" si="1"/>
        <v>3969000</v>
      </c>
    </row>
    <row r="9" spans="1:7">
      <c r="A9" s="3" t="s">
        <v>153</v>
      </c>
      <c r="B9" s="11" t="s">
        <v>166</v>
      </c>
      <c r="C9" s="12">
        <v>256000</v>
      </c>
      <c r="D9" s="13">
        <v>18</v>
      </c>
      <c r="E9" s="15">
        <f t="shared" si="0"/>
        <v>4608000</v>
      </c>
      <c r="F9" s="15">
        <f t="shared" si="1"/>
        <v>2764800</v>
      </c>
    </row>
    <row r="10" spans="1:7">
      <c r="A10" s="3" t="s">
        <v>154</v>
      </c>
      <c r="B10" s="11" t="s">
        <v>168</v>
      </c>
      <c r="C10" s="12">
        <v>389000</v>
      </c>
      <c r="D10" s="13">
        <v>13</v>
      </c>
      <c r="E10" s="15">
        <f t="shared" si="0"/>
        <v>5057000</v>
      </c>
      <c r="F10" s="15">
        <f t="shared" si="1"/>
        <v>3034200</v>
      </c>
    </row>
    <row r="11" spans="1:7">
      <c r="A11" s="14" t="s">
        <v>158</v>
      </c>
      <c r="B11" s="11" t="s">
        <v>169</v>
      </c>
      <c r="C11" s="12">
        <v>285000</v>
      </c>
      <c r="D11" s="13">
        <v>32</v>
      </c>
      <c r="E11" s="15">
        <f t="shared" si="0"/>
        <v>9120000</v>
      </c>
      <c r="F11" s="15">
        <f t="shared" si="1"/>
        <v>5472000</v>
      </c>
    </row>
    <row r="12" spans="1:7">
      <c r="A12" s="14" t="s">
        <v>159</v>
      </c>
      <c r="B12" s="11" t="s">
        <v>170</v>
      </c>
      <c r="C12" s="12">
        <v>215800</v>
      </c>
      <c r="D12" s="13">
        <v>27</v>
      </c>
      <c r="E12" s="15">
        <f t="shared" si="0"/>
        <v>5826600</v>
      </c>
      <c r="F12" s="15">
        <f t="shared" si="1"/>
        <v>3495960</v>
      </c>
    </row>
    <row r="13" spans="1:7">
      <c r="A13" s="14" t="s">
        <v>160</v>
      </c>
      <c r="B13" s="11" t="s">
        <v>162</v>
      </c>
      <c r="C13" s="12">
        <v>352000</v>
      </c>
      <c r="D13" s="13">
        <v>22</v>
      </c>
      <c r="E13" s="15">
        <f t="shared" si="0"/>
        <v>7744000</v>
      </c>
      <c r="F13" s="15">
        <f t="shared" si="1"/>
        <v>4646400</v>
      </c>
    </row>
    <row r="14" spans="1:7">
      <c r="A14" s="55" t="s">
        <v>174</v>
      </c>
      <c r="B14" s="55"/>
      <c r="C14" s="55"/>
      <c r="D14" s="55"/>
      <c r="E14" s="15">
        <f>SUM(E4:E13)</f>
        <v>60202000</v>
      </c>
      <c r="F14" s="15">
        <f>SUM(F4:F13)</f>
        <v>36121200</v>
      </c>
    </row>
    <row r="16" spans="1:7">
      <c r="E16" s="13" t="s">
        <v>175</v>
      </c>
      <c r="F16" s="16">
        <v>0.6</v>
      </c>
    </row>
  </sheetData>
  <scenarios current="1" sqref="F14">
    <scenario name="수익률증가" locked="1" count="1" user="조준현">
      <inputCells r="F16" val="0.7" numFmtId="9"/>
    </scenario>
    <scenario name="수익률감소" locked="1" count="1" user="조준현">
      <inputCells r="F16" val="0.5" numFmtId="9"/>
    </scenario>
  </scenarios>
  <mergeCells count="2">
    <mergeCell ref="A14:D14"/>
    <mergeCell ref="A1:F1"/>
  </mergeCells>
  <phoneticPr fontId="2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8"/>
  <sheetViews>
    <sheetView workbookViewId="0">
      <selection sqref="A1:H1"/>
    </sheetView>
  </sheetViews>
  <sheetFormatPr defaultRowHeight="16.5" outlineLevelRow="3"/>
  <cols>
    <col min="3" max="3" width="9.875" bestFit="1" customWidth="1"/>
    <col min="5" max="6" width="10.875" bestFit="1" customWidth="1"/>
    <col min="7" max="7" width="9.375" bestFit="1" customWidth="1"/>
    <col min="8" max="8" width="10.875" bestFit="1" customWidth="1"/>
  </cols>
  <sheetData>
    <row r="1" spans="1:8" ht="20.25">
      <c r="A1" s="47" t="s">
        <v>147</v>
      </c>
      <c r="B1" s="47"/>
      <c r="C1" s="47"/>
      <c r="D1" s="47"/>
      <c r="E1" s="47"/>
      <c r="F1" s="47"/>
      <c r="G1" s="47"/>
      <c r="H1" s="47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4" t="s">
        <v>125</v>
      </c>
      <c r="B3" s="14" t="s">
        <v>126</v>
      </c>
      <c r="C3" s="14" t="s">
        <v>127</v>
      </c>
      <c r="D3" s="14" t="s">
        <v>128</v>
      </c>
      <c r="E3" s="14" t="s">
        <v>129</v>
      </c>
      <c r="F3" s="14" t="s">
        <v>130</v>
      </c>
      <c r="G3" s="14" t="s">
        <v>131</v>
      </c>
      <c r="H3" s="14" t="s">
        <v>132</v>
      </c>
    </row>
    <row r="4" spans="1:8" outlineLevel="3">
      <c r="A4" s="14" t="s">
        <v>133</v>
      </c>
      <c r="B4" s="14" t="s">
        <v>134</v>
      </c>
      <c r="C4" s="14" t="s">
        <v>123</v>
      </c>
      <c r="D4" s="14" t="s">
        <v>260</v>
      </c>
      <c r="E4" s="24">
        <v>840000</v>
      </c>
      <c r="F4" s="24">
        <v>250000</v>
      </c>
      <c r="G4" s="24">
        <v>400000</v>
      </c>
      <c r="H4" s="24">
        <f>SUM(E4:G4)</f>
        <v>1490000</v>
      </c>
    </row>
    <row r="5" spans="1:8" outlineLevel="3">
      <c r="A5" s="14" t="s">
        <v>135</v>
      </c>
      <c r="B5" s="14" t="s">
        <v>136</v>
      </c>
      <c r="C5" s="14" t="s">
        <v>123</v>
      </c>
      <c r="D5" s="14" t="s">
        <v>264</v>
      </c>
      <c r="E5" s="24">
        <v>800000</v>
      </c>
      <c r="F5" s="24">
        <v>300000</v>
      </c>
      <c r="G5" s="24">
        <v>300000</v>
      </c>
      <c r="H5" s="24">
        <f>SUM(E5:G5)</f>
        <v>1400000</v>
      </c>
    </row>
    <row r="6" spans="1:8" outlineLevel="2">
      <c r="A6" s="14"/>
      <c r="B6" s="14"/>
      <c r="C6" s="28" t="s">
        <v>255</v>
      </c>
      <c r="D6" s="14"/>
      <c r="E6" s="24"/>
      <c r="F6" s="24"/>
      <c r="G6" s="24">
        <f>SUBTOTAL(1,G4:G5)</f>
        <v>350000</v>
      </c>
      <c r="H6" s="24"/>
    </row>
    <row r="7" spans="1:8" outlineLevel="1">
      <c r="A7" s="14"/>
      <c r="B7" s="14"/>
      <c r="C7" s="28" t="s">
        <v>251</v>
      </c>
      <c r="D7" s="14"/>
      <c r="E7" s="24">
        <f>SUBTOTAL(9,E4:E5)</f>
        <v>1640000</v>
      </c>
      <c r="F7" s="24">
        <f>SUBTOTAL(9,F4:F5)</f>
        <v>550000</v>
      </c>
      <c r="G7" s="24"/>
      <c r="H7" s="24"/>
    </row>
    <row r="8" spans="1:8" outlineLevel="3">
      <c r="A8" s="14" t="s">
        <v>139</v>
      </c>
      <c r="B8" s="14" t="s">
        <v>140</v>
      </c>
      <c r="C8" s="14" t="s">
        <v>121</v>
      </c>
      <c r="D8" s="14" t="s">
        <v>262</v>
      </c>
      <c r="E8" s="24">
        <v>860000</v>
      </c>
      <c r="F8" s="24">
        <v>200000</v>
      </c>
      <c r="G8" s="24">
        <v>400000</v>
      </c>
      <c r="H8" s="24">
        <f>SUM(E8:G8)</f>
        <v>1460000</v>
      </c>
    </row>
    <row r="9" spans="1:8" outlineLevel="3">
      <c r="A9" s="14" t="s">
        <v>141</v>
      </c>
      <c r="B9" s="14" t="s">
        <v>142</v>
      </c>
      <c r="C9" s="14" t="s">
        <v>121</v>
      </c>
      <c r="D9" s="14" t="s">
        <v>263</v>
      </c>
      <c r="E9" s="24">
        <v>880000</v>
      </c>
      <c r="F9" s="24">
        <v>200000</v>
      </c>
      <c r="G9" s="24">
        <v>300000</v>
      </c>
      <c r="H9" s="24">
        <f>SUM(E9:G9)</f>
        <v>1380000</v>
      </c>
    </row>
    <row r="10" spans="1:8" outlineLevel="3">
      <c r="A10" s="14" t="s">
        <v>137</v>
      </c>
      <c r="B10" s="14" t="s">
        <v>138</v>
      </c>
      <c r="C10" s="14" t="s">
        <v>121</v>
      </c>
      <c r="D10" s="14" t="s">
        <v>265</v>
      </c>
      <c r="E10" s="24">
        <v>770000</v>
      </c>
      <c r="F10" s="24">
        <v>200000</v>
      </c>
      <c r="G10" s="24">
        <v>350000</v>
      </c>
      <c r="H10" s="24">
        <f>SUM(E10:G10)</f>
        <v>1320000</v>
      </c>
    </row>
    <row r="11" spans="1:8" outlineLevel="2">
      <c r="A11" s="14"/>
      <c r="B11" s="14"/>
      <c r="C11" s="28" t="s">
        <v>256</v>
      </c>
      <c r="D11" s="14"/>
      <c r="E11" s="24"/>
      <c r="F11" s="24"/>
      <c r="G11" s="24">
        <f>SUBTOTAL(1,G8:G10)</f>
        <v>350000</v>
      </c>
      <c r="H11" s="24"/>
    </row>
    <row r="12" spans="1:8" outlineLevel="1">
      <c r="A12" s="14"/>
      <c r="B12" s="14"/>
      <c r="C12" s="28" t="s">
        <v>252</v>
      </c>
      <c r="D12" s="14"/>
      <c r="E12" s="24">
        <f>SUBTOTAL(9,E8:E10)</f>
        <v>2510000</v>
      </c>
      <c r="F12" s="24">
        <f>SUBTOTAL(9,F8:F10)</f>
        <v>600000</v>
      </c>
      <c r="G12" s="24"/>
      <c r="H12" s="24"/>
    </row>
    <row r="13" spans="1:8" outlineLevel="3">
      <c r="A13" s="14" t="s">
        <v>145</v>
      </c>
      <c r="B13" s="14" t="s">
        <v>146</v>
      </c>
      <c r="C13" s="14" t="s">
        <v>120</v>
      </c>
      <c r="D13" s="14" t="s">
        <v>259</v>
      </c>
      <c r="E13" s="24">
        <v>900000</v>
      </c>
      <c r="F13" s="24">
        <v>400000</v>
      </c>
      <c r="G13" s="24">
        <v>400000</v>
      </c>
      <c r="H13" s="24">
        <f>SUM(E13:G13)</f>
        <v>1700000</v>
      </c>
    </row>
    <row r="14" spans="1:8" outlineLevel="3">
      <c r="A14" s="14" t="s">
        <v>143</v>
      </c>
      <c r="B14" s="14" t="s">
        <v>144</v>
      </c>
      <c r="C14" s="14" t="s">
        <v>120</v>
      </c>
      <c r="D14" s="14" t="s">
        <v>261</v>
      </c>
      <c r="E14" s="24">
        <v>940000</v>
      </c>
      <c r="F14" s="24">
        <v>400000</v>
      </c>
      <c r="G14" s="24">
        <v>400000</v>
      </c>
      <c r="H14" s="24">
        <f>SUM(E14:G14)</f>
        <v>1740000</v>
      </c>
    </row>
    <row r="15" spans="1:8" outlineLevel="2">
      <c r="A15" s="2"/>
      <c r="B15" s="2"/>
      <c r="C15" s="29" t="s">
        <v>257</v>
      </c>
      <c r="D15" s="2"/>
      <c r="E15" s="30"/>
      <c r="F15" s="30"/>
      <c r="G15" s="30">
        <f>SUBTOTAL(1,G13:G14)</f>
        <v>400000</v>
      </c>
      <c r="H15" s="30"/>
    </row>
    <row r="16" spans="1:8" outlineLevel="1">
      <c r="A16" s="2"/>
      <c r="B16" s="2"/>
      <c r="C16" s="29" t="s">
        <v>253</v>
      </c>
      <c r="D16" s="2"/>
      <c r="E16" s="30">
        <f>SUBTOTAL(9,E13:E14)</f>
        <v>1840000</v>
      </c>
      <c r="F16" s="30">
        <f>SUBTOTAL(9,F13:F14)</f>
        <v>800000</v>
      </c>
      <c r="G16" s="30"/>
      <c r="H16" s="30"/>
    </row>
    <row r="17" spans="1:8">
      <c r="A17" s="2"/>
      <c r="B17" s="2"/>
      <c r="C17" s="29" t="s">
        <v>258</v>
      </c>
      <c r="D17" s="2"/>
      <c r="E17" s="30"/>
      <c r="F17" s="30"/>
      <c r="G17" s="30">
        <f>SUBTOTAL(1,G4:G14)</f>
        <v>364285.71428571426</v>
      </c>
      <c r="H17" s="30"/>
    </row>
    <row r="18" spans="1:8">
      <c r="A18" s="2"/>
      <c r="B18" s="2"/>
      <c r="C18" s="29" t="s">
        <v>254</v>
      </c>
      <c r="D18" s="2"/>
      <c r="E18" s="30">
        <f>SUBTOTAL(9,E4:E14)</f>
        <v>5990000</v>
      </c>
      <c r="F18" s="30">
        <f>SUBTOTAL(9,F4:F14)</f>
        <v>1950000</v>
      </c>
      <c r="G18" s="30"/>
      <c r="H18" s="30"/>
    </row>
  </sheetData>
  <sortState xmlns:xlrd2="http://schemas.microsoft.com/office/spreadsheetml/2017/richdata2" ref="A4:H10">
    <sortCondition ref="C3"/>
  </sortState>
  <mergeCells count="1">
    <mergeCell ref="A1:H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3"/>
  <sheetViews>
    <sheetView zoomScaleNormal="100" workbookViewId="0">
      <selection sqref="A1:F1"/>
    </sheetView>
  </sheetViews>
  <sheetFormatPr defaultRowHeight="16.5"/>
  <cols>
    <col min="1" max="2" width="9" style="1"/>
    <col min="3" max="3" width="9.125" style="1" bestFit="1" customWidth="1"/>
    <col min="4" max="4" width="9.875" style="1" bestFit="1" customWidth="1"/>
    <col min="5" max="5" width="9.125" style="1" bestFit="1" customWidth="1"/>
    <col min="6" max="6" width="9.875" style="1" bestFit="1" customWidth="1"/>
    <col min="7" max="16384" width="9" style="1"/>
  </cols>
  <sheetData>
    <row r="1" spans="1:6" ht="20.25">
      <c r="A1" s="47" t="s">
        <v>176</v>
      </c>
      <c r="B1" s="47"/>
      <c r="C1" s="47"/>
      <c r="D1" s="47"/>
      <c r="E1" s="47"/>
      <c r="F1" s="47"/>
    </row>
    <row r="3" spans="1:6">
      <c r="A3" s="45" t="s">
        <v>177</v>
      </c>
      <c r="B3" s="45" t="s">
        <v>178</v>
      </c>
      <c r="C3" s="45" t="s">
        <v>179</v>
      </c>
      <c r="D3" s="45" t="s">
        <v>180</v>
      </c>
      <c r="E3" s="45" t="s">
        <v>181</v>
      </c>
      <c r="F3" s="45" t="s">
        <v>182</v>
      </c>
    </row>
    <row r="4" spans="1:6">
      <c r="A4" s="14" t="s">
        <v>183</v>
      </c>
      <c r="B4" s="14" t="s">
        <v>184</v>
      </c>
      <c r="C4" s="16">
        <v>0.2</v>
      </c>
      <c r="D4" s="17">
        <v>150000</v>
      </c>
      <c r="E4" s="17">
        <f>D4*C4</f>
        <v>30000</v>
      </c>
      <c r="F4" s="17">
        <f>D4+E4</f>
        <v>180000</v>
      </c>
    </row>
    <row r="5" spans="1:6">
      <c r="A5" s="14" t="s">
        <v>185</v>
      </c>
      <c r="B5" s="14" t="s">
        <v>186</v>
      </c>
      <c r="C5" s="16">
        <v>0.3</v>
      </c>
      <c r="D5" s="17">
        <v>230000</v>
      </c>
      <c r="E5" s="17">
        <f t="shared" ref="E5:E12" si="0">D5*C5</f>
        <v>69000</v>
      </c>
      <c r="F5" s="17">
        <f t="shared" ref="F5:F12" si="1">D5+E5</f>
        <v>299000</v>
      </c>
    </row>
    <row r="6" spans="1:6">
      <c r="A6" s="14" t="s">
        <v>187</v>
      </c>
      <c r="B6" s="14" t="s">
        <v>188</v>
      </c>
      <c r="C6" s="16">
        <v>0.4</v>
      </c>
      <c r="D6" s="17">
        <v>260000</v>
      </c>
      <c r="E6" s="17">
        <f t="shared" si="0"/>
        <v>104000</v>
      </c>
      <c r="F6" s="17">
        <f t="shared" si="1"/>
        <v>364000</v>
      </c>
    </row>
    <row r="7" spans="1:6">
      <c r="A7" s="14" t="s">
        <v>189</v>
      </c>
      <c r="B7" s="14" t="s">
        <v>186</v>
      </c>
      <c r="C7" s="16">
        <v>0.4</v>
      </c>
      <c r="D7" s="17">
        <v>220000</v>
      </c>
      <c r="E7" s="17">
        <f t="shared" si="0"/>
        <v>88000</v>
      </c>
      <c r="F7" s="17">
        <f t="shared" si="1"/>
        <v>308000</v>
      </c>
    </row>
    <row r="8" spans="1:6">
      <c r="A8" s="14" t="s">
        <v>190</v>
      </c>
      <c r="B8" s="14" t="s">
        <v>188</v>
      </c>
      <c r="C8" s="16">
        <v>0.5</v>
      </c>
      <c r="D8" s="17">
        <v>270000</v>
      </c>
      <c r="E8" s="17">
        <f t="shared" si="0"/>
        <v>135000</v>
      </c>
      <c r="F8" s="17">
        <f t="shared" si="1"/>
        <v>405000</v>
      </c>
    </row>
    <row r="9" spans="1:6">
      <c r="A9" s="14" t="s">
        <v>191</v>
      </c>
      <c r="B9" s="14" t="s">
        <v>186</v>
      </c>
      <c r="C9" s="16">
        <v>0.4</v>
      </c>
      <c r="D9" s="17">
        <v>230000</v>
      </c>
      <c r="E9" s="17">
        <f t="shared" si="0"/>
        <v>92000</v>
      </c>
      <c r="F9" s="17">
        <f t="shared" si="1"/>
        <v>322000</v>
      </c>
    </row>
    <row r="10" spans="1:6">
      <c r="A10" s="14" t="s">
        <v>192</v>
      </c>
      <c r="B10" s="14" t="s">
        <v>184</v>
      </c>
      <c r="C10" s="16">
        <v>0.3</v>
      </c>
      <c r="D10" s="17">
        <v>180000</v>
      </c>
      <c r="E10" s="17">
        <f t="shared" si="0"/>
        <v>54000</v>
      </c>
      <c r="F10" s="17">
        <f t="shared" si="1"/>
        <v>234000</v>
      </c>
    </row>
    <row r="11" spans="1:6">
      <c r="A11" s="14" t="s">
        <v>193</v>
      </c>
      <c r="B11" s="14" t="s">
        <v>184</v>
      </c>
      <c r="C11" s="16">
        <v>0.3</v>
      </c>
      <c r="D11" s="17">
        <v>190000</v>
      </c>
      <c r="E11" s="17">
        <f t="shared" si="0"/>
        <v>57000</v>
      </c>
      <c r="F11" s="17">
        <f t="shared" si="1"/>
        <v>247000</v>
      </c>
    </row>
    <row r="12" spans="1:6">
      <c r="A12" s="14" t="s">
        <v>194</v>
      </c>
      <c r="B12" s="14" t="s">
        <v>188</v>
      </c>
      <c r="C12" s="16">
        <v>0.5</v>
      </c>
      <c r="D12" s="17">
        <v>265000</v>
      </c>
      <c r="E12" s="17">
        <f t="shared" si="0"/>
        <v>132500</v>
      </c>
      <c r="F12" s="17">
        <f t="shared" si="1"/>
        <v>397500</v>
      </c>
    </row>
    <row r="13" spans="1:6">
      <c r="A13" s="57" t="s">
        <v>195</v>
      </c>
      <c r="B13" s="58"/>
      <c r="C13" s="59"/>
      <c r="D13" s="17">
        <f>AVERAGE(D4:D12)</f>
        <v>221666.66666666666</v>
      </c>
      <c r="E13" s="17">
        <f t="shared" ref="E13:F13" si="2">AVERAGE(E4:E12)</f>
        <v>84611.111111111109</v>
      </c>
      <c r="F13" s="17">
        <f t="shared" si="2"/>
        <v>306277.77777777775</v>
      </c>
    </row>
  </sheetData>
  <mergeCells count="2">
    <mergeCell ref="A1:F1"/>
    <mergeCell ref="A13:C13"/>
  </mergeCells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8"/>
  <sheetViews>
    <sheetView workbookViewId="0">
      <selection sqref="A1:E1"/>
    </sheetView>
  </sheetViews>
  <sheetFormatPr defaultRowHeight="16.5"/>
  <cols>
    <col min="1" max="2" width="9" style="1"/>
    <col min="3" max="3" width="9.125" style="1" bestFit="1" customWidth="1"/>
    <col min="4" max="4" width="11.5" style="1" bestFit="1" customWidth="1"/>
    <col min="5" max="5" width="11.875" style="1" bestFit="1" customWidth="1"/>
    <col min="6" max="16384" width="9" style="1"/>
  </cols>
  <sheetData>
    <row r="1" spans="1:5" ht="20.25">
      <c r="A1" s="47" t="s">
        <v>196</v>
      </c>
      <c r="B1" s="47"/>
      <c r="C1" s="47"/>
      <c r="D1" s="47"/>
      <c r="E1" s="47"/>
    </row>
    <row r="3" spans="1:5">
      <c r="A3" s="14" t="s">
        <v>197</v>
      </c>
      <c r="B3" s="14" t="s">
        <v>198</v>
      </c>
      <c r="C3" s="23" t="s">
        <v>199</v>
      </c>
      <c r="D3" s="23" t="s">
        <v>200</v>
      </c>
      <c r="E3" s="23" t="s">
        <v>201</v>
      </c>
    </row>
    <row r="4" spans="1:5">
      <c r="A4" s="14" t="s">
        <v>202</v>
      </c>
      <c r="B4" s="14" t="s">
        <v>203</v>
      </c>
      <c r="C4" s="24">
        <v>24000</v>
      </c>
      <c r="D4" s="24">
        <v>350</v>
      </c>
      <c r="E4" s="24">
        <f>C4*D4</f>
        <v>8400000</v>
      </c>
    </row>
    <row r="5" spans="1:5">
      <c r="A5" s="14" t="s">
        <v>204</v>
      </c>
      <c r="B5" s="14" t="s">
        <v>205</v>
      </c>
      <c r="C5" s="24">
        <v>15000</v>
      </c>
      <c r="D5" s="24">
        <v>380</v>
      </c>
      <c r="E5" s="24">
        <f>C5*D5</f>
        <v>5700000</v>
      </c>
    </row>
    <row r="6" spans="1:5">
      <c r="A6" s="14" t="s">
        <v>206</v>
      </c>
      <c r="B6" s="14" t="s">
        <v>207</v>
      </c>
      <c r="C6" s="24">
        <v>15000</v>
      </c>
      <c r="D6" s="24">
        <v>375</v>
      </c>
      <c r="E6" s="24">
        <f>C6*D6</f>
        <v>5625000</v>
      </c>
    </row>
    <row r="7" spans="1:5">
      <c r="A7" s="14" t="s">
        <v>208</v>
      </c>
      <c r="B7" s="14" t="s">
        <v>203</v>
      </c>
      <c r="C7" s="24">
        <v>35000</v>
      </c>
      <c r="D7" s="24">
        <v>367</v>
      </c>
      <c r="E7" s="24">
        <f>C7*D7</f>
        <v>12845000</v>
      </c>
    </row>
    <row r="8" spans="1:5">
      <c r="A8" s="14" t="s">
        <v>209</v>
      </c>
      <c r="B8" s="14" t="s">
        <v>205</v>
      </c>
      <c r="C8" s="24">
        <v>34000</v>
      </c>
      <c r="D8" s="24">
        <v>360</v>
      </c>
      <c r="E8" s="24">
        <f>C8*D8</f>
        <v>12240000</v>
      </c>
    </row>
  </sheetData>
  <sortState xmlns:xlrd2="http://schemas.microsoft.com/office/spreadsheetml/2017/richdata2" ref="A4:H15">
    <sortCondition ref="A3"/>
  </sortState>
  <mergeCells count="1">
    <mergeCell ref="A1:E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수익률</vt:lpstr>
      <vt:lpstr>순매출액합계</vt:lpstr>
      <vt:lpstr>'기본작업-3'!인사자료_1</vt:lpstr>
    </vt:vector>
  </TitlesOfParts>
  <Company>ExTra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2012-04-03T11:57:27Z</dcterms:created>
  <dcterms:modified xsi:type="dcterms:W3CDTF">2023-10-09T16:50:58Z</dcterms:modified>
</cp:coreProperties>
</file>