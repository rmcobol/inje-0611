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07회 실전모의고사\"/>
    </mc:Choice>
  </mc:AlternateContent>
  <xr:revisionPtr revIDLastSave="0" documentId="13_ncr:1_{28AD7F49-40EC-4141-B62F-359177D46BDF}" xr6:coauthVersionLast="47" xr6:coauthVersionMax="47" xr10:uidLastSave="{00000000-0000-0000-0000-000000000000}"/>
  <bookViews>
    <workbookView xWindow="10440" yWindow="2700" windowWidth="15390" windowHeight="12690" xr2:uid="{00000000-000D-0000-FFFF-FFFF00000000}"/>
  </bookViews>
  <sheets>
    <sheet name="기본작업-1" sheetId="1" r:id="rId1"/>
    <sheet name="기본작업-2" sheetId="2" r:id="rId2"/>
    <sheet name="기본작업-3" sheetId="10" r:id="rId3"/>
    <sheet name="계산작업" sheetId="5" r:id="rId4"/>
    <sheet name="시나리오 요약" sheetId="11" r:id="rId5"/>
    <sheet name="분석작업-1" sheetId="6" r:id="rId6"/>
    <sheet name="분석작업-2" sheetId="7" r:id="rId7"/>
    <sheet name="매크로작업" sheetId="8" r:id="rId8"/>
    <sheet name="차트작업" sheetId="9" r:id="rId9"/>
  </sheets>
  <definedNames>
    <definedName name="이익금합계">'분석작업-1'!$F$11</definedName>
    <definedName name="환율">'분석작업-1'!$C$13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8" l="1"/>
  <c r="D14" i="8"/>
  <c r="E14" i="8"/>
  <c r="F14" i="8"/>
  <c r="G14" i="8"/>
  <c r="H14" i="8"/>
  <c r="I14" i="8"/>
  <c r="J14" i="8" s="1"/>
  <c r="B14" i="8"/>
  <c r="J5" i="8"/>
  <c r="J6" i="8"/>
  <c r="J7" i="8"/>
  <c r="J8" i="8"/>
  <c r="J9" i="8"/>
  <c r="J10" i="8"/>
  <c r="J11" i="8"/>
  <c r="J12" i="8"/>
  <c r="J13" i="8"/>
  <c r="J4" i="8"/>
  <c r="F14" i="7"/>
  <c r="E14" i="7"/>
  <c r="F10" i="7"/>
  <c r="E10" i="7"/>
  <c r="F6" i="7"/>
  <c r="F16" i="7" s="1"/>
  <c r="E6" i="7"/>
  <c r="E16" i="7" s="1"/>
  <c r="F15" i="7"/>
  <c r="E15" i="7"/>
  <c r="F11" i="7"/>
  <c r="E11" i="7"/>
  <c r="F7" i="7"/>
  <c r="E7" i="7"/>
  <c r="E17" i="7" l="1"/>
  <c r="F17" i="7"/>
  <c r="D30" i="5"/>
  <c r="D31" i="5"/>
  <c r="D32" i="5"/>
  <c r="D33" i="5"/>
  <c r="D34" i="5"/>
  <c r="D35" i="5"/>
  <c r="D29" i="5"/>
  <c r="H23" i="5"/>
  <c r="D15" i="5"/>
  <c r="D16" i="5"/>
  <c r="D17" i="5"/>
  <c r="D18" i="5"/>
  <c r="D19" i="5"/>
  <c r="D20" i="5"/>
  <c r="D14" i="5"/>
  <c r="J4" i="5"/>
  <c r="J5" i="5"/>
  <c r="J6" i="5"/>
  <c r="J7" i="5"/>
  <c r="J8" i="5"/>
  <c r="J9" i="5"/>
  <c r="J3" i="5"/>
  <c r="D4" i="5"/>
  <c r="D5" i="5"/>
  <c r="D6" i="5"/>
  <c r="D7" i="5"/>
  <c r="D8" i="5"/>
  <c r="D9" i="5"/>
  <c r="D3" i="5"/>
  <c r="C11" i="6" l="1"/>
  <c r="E11" i="6"/>
  <c r="D6" i="6"/>
  <c r="F6" i="6" s="1"/>
  <c r="D7" i="6"/>
  <c r="F7" i="6" s="1"/>
  <c r="D8" i="6"/>
  <c r="F8" i="6" s="1"/>
  <c r="D9" i="6"/>
  <c r="F9" i="6" s="1"/>
  <c r="D10" i="6"/>
  <c r="F10" i="6" s="1"/>
  <c r="D5" i="6"/>
  <c r="D11" i="6" l="1"/>
  <c r="F5" i="6"/>
  <c r="F1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조준현</author>
  </authors>
  <commentList>
    <comment ref="B10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초등학교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교원당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최고학생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</text>
    </comment>
  </commentList>
</comments>
</file>

<file path=xl/sharedStrings.xml><?xml version="1.0" encoding="utf-8"?>
<sst xmlns="http://schemas.openxmlformats.org/spreadsheetml/2006/main" count="282" uniqueCount="231">
  <si>
    <t>구분</t>
  </si>
  <si>
    <t>초등학교</t>
  </si>
  <si>
    <t>중학교</t>
  </si>
  <si>
    <t>일반계고교</t>
  </si>
  <si>
    <t>학급당 학생수</t>
  </si>
  <si>
    <t>교원당 학생수</t>
  </si>
  <si>
    <t>초중고교 교육여건 개선 현황</t>
    <phoneticPr fontId="2" type="noConversion"/>
  </si>
  <si>
    <t>[표1]</t>
  </si>
  <si>
    <t>[표2]</t>
  </si>
  <si>
    <t>접수번호</t>
  </si>
  <si>
    <t>성명</t>
  </si>
  <si>
    <t>출신고</t>
  </si>
  <si>
    <t>계열</t>
  </si>
  <si>
    <t>수험번호</t>
  </si>
  <si>
    <t>논술</t>
  </si>
  <si>
    <t>내신</t>
  </si>
  <si>
    <t>수능</t>
  </si>
  <si>
    <t>전형결과</t>
  </si>
  <si>
    <t>김두호</t>
  </si>
  <si>
    <t>상공고</t>
  </si>
  <si>
    <t>나정해</t>
  </si>
  <si>
    <t>대한고</t>
  </si>
  <si>
    <t>조성신</t>
  </si>
  <si>
    <t>우리고</t>
  </si>
  <si>
    <t>장경호</t>
  </si>
  <si>
    <t>최신애</t>
  </si>
  <si>
    <t>이정구</t>
  </si>
  <si>
    <t>남대천</t>
  </si>
  <si>
    <t>나라고</t>
  </si>
  <si>
    <t>[표3]</t>
  </si>
  <si>
    <t>[표4]</t>
  </si>
  <si>
    <t>고객명</t>
  </si>
  <si>
    <t>예금종류</t>
  </si>
  <si>
    <t>예금액</t>
  </si>
  <si>
    <t>공제금액</t>
  </si>
  <si>
    <t>학과</t>
  </si>
  <si>
    <t>학년</t>
  </si>
  <si>
    <t>평가점수</t>
  </si>
  <si>
    <t>강만이</t>
  </si>
  <si>
    <t>연금저축</t>
  </si>
  <si>
    <t>디자인</t>
  </si>
  <si>
    <t>고승수</t>
  </si>
  <si>
    <t>도조아</t>
  </si>
  <si>
    <t>장마저축</t>
  </si>
  <si>
    <t>미디어</t>
  </si>
  <si>
    <t>구만리</t>
  </si>
  <si>
    <t>박주리</t>
  </si>
  <si>
    <t>노상식</t>
  </si>
  <si>
    <t>이만금</t>
  </si>
  <si>
    <t>나잘난</t>
  </si>
  <si>
    <t>조아라</t>
  </si>
  <si>
    <t>장기주식형</t>
  </si>
  <si>
    <t>마고수</t>
  </si>
  <si>
    <t>최중금</t>
  </si>
  <si>
    <t>박흥철</t>
  </si>
  <si>
    <t>황금이</t>
  </si>
  <si>
    <t>사수해</t>
  </si>
  <si>
    <t>예금별 수익률</t>
  </si>
  <si>
    <t>400점 이상인 2학년</t>
  </si>
  <si>
    <t>수익률</t>
  </si>
  <si>
    <t>[표5]</t>
  </si>
  <si>
    <t>매장명</t>
  </si>
  <si>
    <t>사원코드</t>
  </si>
  <si>
    <t>판매금액</t>
  </si>
  <si>
    <t>평가</t>
  </si>
  <si>
    <t>대한</t>
  </si>
  <si>
    <t>상공</t>
  </si>
  <si>
    <t>나라</t>
  </si>
  <si>
    <t>K-001</t>
  </si>
  <si>
    <t>D-001</t>
  </si>
  <si>
    <t>D-002</t>
  </si>
  <si>
    <t>K-002</t>
  </si>
  <si>
    <t>S-001</t>
  </si>
  <si>
    <t>S-002</t>
  </si>
  <si>
    <t>D-003</t>
  </si>
  <si>
    <t>D1234</t>
  </si>
  <si>
    <t>S2345</t>
  </si>
  <si>
    <t>S4567</t>
  </si>
  <si>
    <t>N5678</t>
  </si>
  <si>
    <t>D4321</t>
  </si>
  <si>
    <t>N8765</t>
  </si>
  <si>
    <t>S7654</t>
  </si>
  <si>
    <t>상품코드</t>
  </si>
  <si>
    <t>상품명</t>
  </si>
  <si>
    <t>상품가격</t>
  </si>
  <si>
    <t>이익금</t>
  </si>
  <si>
    <t>H-20041</t>
  </si>
  <si>
    <t>햄버거</t>
  </si>
  <si>
    <t>커피</t>
  </si>
  <si>
    <t>피자</t>
  </si>
  <si>
    <t>와인</t>
  </si>
  <si>
    <t>위스키</t>
  </si>
  <si>
    <t>바나나</t>
  </si>
  <si>
    <t>합계</t>
  </si>
  <si>
    <t>환율</t>
  </si>
  <si>
    <t>C-20033</t>
  </si>
  <si>
    <t>P-19994</t>
  </si>
  <si>
    <t>W-20057</t>
  </si>
  <si>
    <t>S-19955</t>
  </si>
  <si>
    <t>B-20089</t>
  </si>
  <si>
    <t>미술/실용아트 강좌</t>
  </si>
  <si>
    <t>강좌명</t>
  </si>
  <si>
    <t>과정</t>
  </si>
  <si>
    <t>요일</t>
  </si>
  <si>
    <t>시간</t>
  </si>
  <si>
    <t>모집인원</t>
  </si>
  <si>
    <t>수강료</t>
  </si>
  <si>
    <t>수채화 정물</t>
  </si>
  <si>
    <t>초급</t>
  </si>
  <si>
    <t>목</t>
  </si>
  <si>
    <t>중급</t>
  </si>
  <si>
    <t>수</t>
  </si>
  <si>
    <t>회화교실</t>
  </si>
  <si>
    <t>고급</t>
  </si>
  <si>
    <t>뎃생A</t>
  </si>
  <si>
    <t>화</t>
  </si>
  <si>
    <t>뎃생B</t>
  </si>
  <si>
    <t>금</t>
  </si>
  <si>
    <t>유화A</t>
  </si>
  <si>
    <t>유화B</t>
  </si>
  <si>
    <t>대학</t>
  </si>
  <si>
    <t>정원</t>
  </si>
  <si>
    <t>서울대</t>
  </si>
  <si>
    <t>고려대</t>
  </si>
  <si>
    <t>연세대</t>
  </si>
  <si>
    <t>이화여대</t>
  </si>
  <si>
    <t>성균관대</t>
  </si>
  <si>
    <t>한양대</t>
  </si>
  <si>
    <t>총합</t>
  </si>
  <si>
    <t>비율</t>
  </si>
  <si>
    <t>강원대</t>
  </si>
  <si>
    <t>동아대</t>
  </si>
  <si>
    <t>부산대</t>
  </si>
  <si>
    <t>영남대</t>
  </si>
  <si>
    <t>원광대</t>
  </si>
  <si>
    <t>전남대</t>
  </si>
  <si>
    <t>전북대</t>
  </si>
  <si>
    <t>제주대</t>
  </si>
  <si>
    <t>충남대</t>
  </si>
  <si>
    <t>충북대</t>
  </si>
  <si>
    <t>주요 투자은행의 한국 성장률 전망 및 실적치</t>
  </si>
  <si>
    <t>(단위 : %)</t>
  </si>
  <si>
    <t>투자은행</t>
  </si>
  <si>
    <t>골드만삭스</t>
  </si>
  <si>
    <t>-</t>
  </si>
  <si>
    <t>모건스탠리</t>
  </si>
  <si>
    <t>씨티</t>
  </si>
  <si>
    <t>실적</t>
  </si>
  <si>
    <t>JP모간</t>
  </si>
  <si>
    <t>UBS</t>
  </si>
  <si>
    <t>4.2(KDI)</t>
  </si>
  <si>
    <t>장미저축</t>
    <phoneticPr fontId="2" type="noConversion"/>
  </si>
  <si>
    <t>수입상품 판매보고서</t>
    <phoneticPr fontId="2" type="noConversion"/>
  </si>
  <si>
    <t>판매가격</t>
    <phoneticPr fontId="2" type="noConversion"/>
  </si>
  <si>
    <t>현지가격(달러)</t>
    <phoneticPr fontId="2" type="noConversion"/>
  </si>
  <si>
    <t>수입가격</t>
    <phoneticPr fontId="2" type="noConversion"/>
  </si>
  <si>
    <t>대학생 인턴사원 접수 안내</t>
    <phoneticPr fontId="2" type="noConversion"/>
  </si>
  <si>
    <t>2020년</t>
    <phoneticPr fontId="2" type="noConversion"/>
  </si>
  <si>
    <t>2010년</t>
    <phoneticPr fontId="2" type="noConversion"/>
  </si>
  <si>
    <t>2000년</t>
    <phoneticPr fontId="2" type="noConversion"/>
  </si>
  <si>
    <t>1990년</t>
    <phoneticPr fontId="2" type="noConversion"/>
  </si>
  <si>
    <t>1980년</t>
    <phoneticPr fontId="2" type="noConversion"/>
  </si>
  <si>
    <t>1970년</t>
    <phoneticPr fontId="2" type="noConversion"/>
  </si>
  <si>
    <t>[표] 지방대 로스쿨 합격자 출신 학교</t>
    <phoneticPr fontId="2" type="noConversion"/>
  </si>
  <si>
    <t>분류번호</t>
    <phoneticPr fontId="2" type="noConversion"/>
  </si>
  <si>
    <t>회사명</t>
    <phoneticPr fontId="2" type="noConversion"/>
  </si>
  <si>
    <t>접수기간</t>
    <phoneticPr fontId="2" type="noConversion"/>
  </si>
  <si>
    <t>전공제한</t>
    <phoneticPr fontId="2" type="noConversion"/>
  </si>
  <si>
    <t>월급여</t>
    <phoneticPr fontId="2" type="noConversion"/>
  </si>
  <si>
    <t>연락처</t>
    <phoneticPr fontId="2" type="noConversion"/>
  </si>
  <si>
    <t>담당자</t>
    <phoneticPr fontId="2" type="noConversion"/>
  </si>
  <si>
    <t>MK-230</t>
    <phoneticPr fontId="2" type="noConversion"/>
  </si>
  <si>
    <t>산업디자인</t>
    <phoneticPr fontId="2" type="noConversion"/>
  </si>
  <si>
    <t>3452-9874</t>
    <phoneticPr fontId="2" type="noConversion"/>
  </si>
  <si>
    <t>강성규</t>
    <phoneticPr fontId="2" type="noConversion"/>
  </si>
  <si>
    <t>NS-123</t>
    <phoneticPr fontId="2" type="noConversion"/>
  </si>
  <si>
    <t>시각디자인</t>
    <phoneticPr fontId="2" type="noConversion"/>
  </si>
  <si>
    <t>2589-9743</t>
    <phoneticPr fontId="2" type="noConversion"/>
  </si>
  <si>
    <t>박철호</t>
    <phoneticPr fontId="2" type="noConversion"/>
  </si>
  <si>
    <t>KK-078</t>
    <phoneticPr fontId="2" type="noConversion"/>
  </si>
  <si>
    <t>전기전자</t>
    <phoneticPr fontId="2" type="noConversion"/>
  </si>
  <si>
    <t>4597-8254</t>
    <phoneticPr fontId="2" type="noConversion"/>
  </si>
  <si>
    <t>장선애</t>
    <phoneticPr fontId="2" type="noConversion"/>
  </si>
  <si>
    <t>YK-345</t>
    <phoneticPr fontId="2" type="noConversion"/>
  </si>
  <si>
    <t>컴퓨터공학</t>
    <phoneticPr fontId="2" type="noConversion"/>
  </si>
  <si>
    <t>3648-6482</t>
    <phoneticPr fontId="2" type="noConversion"/>
  </si>
  <si>
    <t>최상구</t>
    <phoneticPr fontId="2" type="noConversion"/>
  </si>
  <si>
    <t>NH-782</t>
    <phoneticPr fontId="2" type="noConversion"/>
  </si>
  <si>
    <t>NHN</t>
    <phoneticPr fontId="2" type="noConversion"/>
  </si>
  <si>
    <t>수시채용</t>
    <phoneticPr fontId="2" type="noConversion"/>
  </si>
  <si>
    <t>제한없음</t>
    <phoneticPr fontId="2" type="noConversion"/>
  </si>
  <si>
    <t>7892-4682</t>
    <phoneticPr fontId="2" type="noConversion"/>
  </si>
  <si>
    <t>이상민</t>
    <phoneticPr fontId="2" type="noConversion"/>
  </si>
  <si>
    <t>GK-483</t>
    <phoneticPr fontId="2" type="noConversion"/>
  </si>
  <si>
    <t>컴퓨터과학</t>
    <phoneticPr fontId="2" type="noConversion"/>
  </si>
  <si>
    <t>3654-4562</t>
    <phoneticPr fontId="2" type="noConversion"/>
  </si>
  <si>
    <t>유재영</t>
    <phoneticPr fontId="2" type="noConversion"/>
  </si>
  <si>
    <t>NW-654</t>
    <phoneticPr fontId="2" type="noConversion"/>
  </si>
  <si>
    <t>12월 이후 예정</t>
    <phoneticPr fontId="2" type="noConversion"/>
  </si>
  <si>
    <t>멀티미디어학부</t>
    <phoneticPr fontId="2" type="noConversion"/>
  </si>
  <si>
    <t>1258-3654</t>
    <phoneticPr fontId="2" type="noConversion"/>
  </si>
  <si>
    <t>조철만</t>
    <phoneticPr fontId="2" type="noConversion"/>
  </si>
  <si>
    <t>모토코리아</t>
    <phoneticPr fontId="2" type="noConversion"/>
  </si>
  <si>
    <t>SD</t>
    <phoneticPr fontId="2" type="noConversion"/>
  </si>
  <si>
    <t>컴코리아</t>
    <phoneticPr fontId="2" type="noConversion"/>
  </si>
  <si>
    <t>아슬란코리아</t>
    <phoneticPr fontId="2" type="noConversion"/>
  </si>
  <si>
    <t>코리아넷</t>
    <phoneticPr fontId="2" type="noConversion"/>
  </si>
  <si>
    <t>위즈산업</t>
    <phoneticPr fontId="2" type="noConversion"/>
  </si>
  <si>
    <t>이익금합계</t>
  </si>
  <si>
    <t>환율인상</t>
  </si>
  <si>
    <t>환율인하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</si>
  <si>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</si>
  <si>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</si>
  <si>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</si>
  <si>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</si>
  <si>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</si>
  <si>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</si>
  <si>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</si>
  <si>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초급 평균</t>
  </si>
  <si>
    <t>중급 평균</t>
  </si>
  <si>
    <t>고급 평균</t>
  </si>
  <si>
    <t>전체 평균</t>
  </si>
  <si>
    <t>전체 최대값</t>
  </si>
  <si>
    <t>4.5(KDI)</t>
    <phoneticPr fontId="2" type="noConversion"/>
  </si>
  <si>
    <t>초급 최대</t>
  </si>
  <si>
    <t>중급 최대</t>
  </si>
  <si>
    <t>고급 최대</t>
  </si>
  <si>
    <t>2021년</t>
  </si>
  <si>
    <t>2022년</t>
  </si>
  <si>
    <t>2023년</t>
  </si>
  <si>
    <t>2024년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</si>
</sst>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0.0_ "/>
    <numFmt numFmtId="178" formatCode="0_ "/>
    <numFmt numFmtId="179" formatCode="0.0%"/>
    <numFmt numFmtId="180" formatCode="0.00_ "/>
    <numFmt numFmtId="181" formatCode="0.0"/>
    <numFmt numFmtId="182" formatCode="General&quot;명&quot;"/>
  </numFmts>
  <fonts count="2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u/>
      <sz val="17"/>
      <color theme="1"/>
      <name val="궁서체"/>
      <family val="1"/>
      <charset val="129"/>
    </font>
    <font>
      <sz val="12"/>
      <color rgb="FF0070C0"/>
      <name val="굴림체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4" fillId="0" borderId="0" xfId="2" applyFont="1">
      <alignment vertical="center"/>
    </xf>
    <xf numFmtId="0" fontId="4" fillId="0" borderId="1" xfId="2" applyFont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2" applyFont="1">
      <alignment vertical="center"/>
    </xf>
    <xf numFmtId="0" fontId="7" fillId="0" borderId="1" xfId="2" applyFont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0" fontId="7" fillId="0" borderId="0" xfId="2" applyFont="1" applyAlignment="1">
      <alignment horizontal="right" vertical="center"/>
    </xf>
    <xf numFmtId="41" fontId="7" fillId="0" borderId="1" xfId="3" applyFont="1" applyBorder="1" applyAlignment="1">
      <alignment horizontal="center" vertical="center"/>
    </xf>
    <xf numFmtId="41" fontId="7" fillId="0" borderId="1" xfId="2" applyNumberFormat="1" applyFont="1" applyBorder="1" applyAlignment="1">
      <alignment horizontal="center" vertical="center"/>
    </xf>
    <xf numFmtId="0" fontId="7" fillId="0" borderId="1" xfId="3" applyNumberFormat="1" applyFon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179" fontId="7" fillId="0" borderId="1" xfId="2" applyNumberFormat="1" applyFont="1" applyBorder="1" applyAlignment="1">
      <alignment horizontal="center" vertical="center"/>
    </xf>
    <xf numFmtId="0" fontId="7" fillId="0" borderId="1" xfId="2" applyFont="1" applyBorder="1" applyAlignment="1">
      <alignment horizontal="center"/>
    </xf>
    <xf numFmtId="0" fontId="7" fillId="0" borderId="2" xfId="2" applyFont="1" applyBorder="1" applyAlignment="1">
      <alignment horizontal="center"/>
    </xf>
    <xf numFmtId="41" fontId="7" fillId="0" borderId="1" xfId="3" applyFont="1" applyBorder="1" applyAlignment="1">
      <alignment horizontal="center"/>
    </xf>
    <xf numFmtId="41" fontId="7" fillId="0" borderId="1" xfId="3" applyFont="1" applyBorder="1">
      <alignment vertical="center"/>
    </xf>
    <xf numFmtId="41" fontId="7" fillId="0" borderId="3" xfId="3" applyFont="1" applyBorder="1" applyAlignment="1">
      <alignment vertical="center"/>
    </xf>
    <xf numFmtId="41" fontId="7" fillId="0" borderId="0" xfId="2" applyNumberFormat="1" applyFont="1">
      <alignment vertical="center"/>
    </xf>
    <xf numFmtId="41" fontId="7" fillId="0" borderId="0" xfId="3" applyFont="1" applyBorder="1">
      <alignment vertical="center"/>
    </xf>
    <xf numFmtId="0" fontId="7" fillId="0" borderId="2" xfId="2" applyFont="1" applyBorder="1" applyAlignment="1">
      <alignment horizontal="center" vertical="center"/>
    </xf>
    <xf numFmtId="20" fontId="7" fillId="0" borderId="1" xfId="3" applyNumberFormat="1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 wrapText="1"/>
    </xf>
    <xf numFmtId="178" fontId="7" fillId="0" borderId="1" xfId="3" applyNumberFormat="1" applyFont="1" applyBorder="1" applyAlignment="1">
      <alignment horizontal="center" vertical="center"/>
    </xf>
    <xf numFmtId="178" fontId="7" fillId="0" borderId="1" xfId="4" applyNumberFormat="1" applyFont="1" applyBorder="1" applyAlignment="1">
      <alignment horizontal="center" vertical="center"/>
    </xf>
    <xf numFmtId="178" fontId="7" fillId="0" borderId="1" xfId="2" applyNumberFormat="1" applyFont="1" applyBorder="1" applyAlignment="1">
      <alignment horizontal="center" vertical="center"/>
    </xf>
    <xf numFmtId="178" fontId="7" fillId="0" borderId="3" xfId="2" applyNumberFormat="1" applyFont="1" applyBorder="1" applyAlignment="1">
      <alignment horizontal="center" vertical="center"/>
    </xf>
    <xf numFmtId="0" fontId="4" fillId="0" borderId="0" xfId="2" applyFont="1" applyAlignment="1">
      <alignment horizontal="right" vertical="center"/>
    </xf>
    <xf numFmtId="177" fontId="4" fillId="0" borderId="1" xfId="2" applyNumberFormat="1" applyFont="1" applyBorder="1" applyAlignment="1">
      <alignment horizontal="center" vertical="center"/>
    </xf>
    <xf numFmtId="177" fontId="4" fillId="0" borderId="1" xfId="3" applyNumberFormat="1" applyFont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41" fontId="0" fillId="0" borderId="8" xfId="0" applyNumberFormat="1" applyBorder="1">
      <alignment vertical="center"/>
    </xf>
    <xf numFmtId="0" fontId="14" fillId="4" borderId="9" xfId="0" applyFont="1" applyFill="1" applyBorder="1" applyAlignment="1">
      <alignment horizontal="left" vertical="center"/>
    </xf>
    <xf numFmtId="0" fontId="13" fillId="4" borderId="7" xfId="0" applyFont="1" applyFill="1" applyBorder="1" applyAlignment="1">
      <alignment horizontal="left" vertical="center"/>
    </xf>
    <xf numFmtId="0" fontId="14" fillId="4" borderId="7" xfId="0" applyFont="1" applyFill="1" applyBorder="1" applyAlignment="1">
      <alignment horizontal="left" vertical="center"/>
    </xf>
    <xf numFmtId="0" fontId="0" fillId="0" borderId="4" xfId="0" applyBorder="1">
      <alignment vertical="center"/>
    </xf>
    <xf numFmtId="0" fontId="15" fillId="5" borderId="0" xfId="0" applyFont="1" applyFill="1" applyAlignment="1">
      <alignment horizontal="left" vertical="center"/>
    </xf>
    <xf numFmtId="0" fontId="16" fillId="5" borderId="4" xfId="0" applyFont="1" applyFill="1" applyBorder="1" applyAlignment="1">
      <alignment horizontal="left" vertical="center"/>
    </xf>
    <xf numFmtId="0" fontId="17" fillId="5" borderId="4" xfId="0" applyFont="1" applyFill="1" applyBorder="1" applyAlignment="1">
      <alignment horizontal="left" vertical="center"/>
    </xf>
    <xf numFmtId="0" fontId="15" fillId="5" borderId="8" xfId="0" applyFont="1" applyFill="1" applyBorder="1" applyAlignment="1">
      <alignment horizontal="left" vertical="center"/>
    </xf>
    <xf numFmtId="0" fontId="13" fillId="4" borderId="7" xfId="0" applyFont="1" applyFill="1" applyBorder="1" applyAlignment="1">
      <alignment horizontal="right" vertical="center"/>
    </xf>
    <xf numFmtId="0" fontId="13" fillId="4" borderId="9" xfId="0" applyFont="1" applyFill="1" applyBorder="1" applyAlignment="1">
      <alignment horizontal="right" vertical="center"/>
    </xf>
    <xf numFmtId="41" fontId="0" fillId="6" borderId="0" xfId="0" applyNumberFormat="1" applyFill="1">
      <alignment vertical="center"/>
    </xf>
    <xf numFmtId="0" fontId="18" fillId="0" borderId="0" xfId="0" applyFont="1" applyAlignment="1">
      <alignment vertical="top" wrapText="1"/>
    </xf>
    <xf numFmtId="0" fontId="19" fillId="0" borderId="1" xfId="2" applyFont="1" applyBorder="1" applyAlignment="1">
      <alignment horizontal="center" vertical="center"/>
    </xf>
    <xf numFmtId="20" fontId="7" fillId="0" borderId="0" xfId="3" applyNumberFormat="1" applyFont="1" applyBorder="1" applyAlignment="1">
      <alignment horizontal="center" vertical="center"/>
    </xf>
    <xf numFmtId="180" fontId="7" fillId="0" borderId="1" xfId="2" applyNumberFormat="1" applyFont="1" applyBorder="1" applyAlignment="1">
      <alignment horizontal="center" vertical="center"/>
    </xf>
    <xf numFmtId="181" fontId="4" fillId="0" borderId="1" xfId="3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182" fontId="0" fillId="0" borderId="1" xfId="0" applyNumberFormat="1" applyBorder="1">
      <alignment vertical="center"/>
    </xf>
    <xf numFmtId="0" fontId="19" fillId="0" borderId="0" xfId="2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0" borderId="0" xfId="2" applyFont="1" applyAlignment="1">
      <alignment horizontal="center"/>
    </xf>
    <xf numFmtId="0" fontId="7" fillId="2" borderId="1" xfId="2" applyFont="1" applyFill="1" applyBorder="1" applyAlignment="1">
      <alignment horizontal="center" vertical="center"/>
    </xf>
    <xf numFmtId="176" fontId="7" fillId="0" borderId="1" xfId="3" applyNumberFormat="1" applyFont="1" applyBorder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6" xfId="2" applyFont="1" applyBorder="1" applyAlignment="1">
      <alignment horizontal="center" vertical="center"/>
    </xf>
    <xf numFmtId="41" fontId="7" fillId="0" borderId="5" xfId="3" applyFont="1" applyBorder="1" applyAlignment="1">
      <alignment horizontal="center" vertical="center"/>
    </xf>
    <xf numFmtId="41" fontId="7" fillId="0" borderId="6" xfId="3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0" fontId="5" fillId="0" borderId="0" xfId="2" applyFont="1" applyAlignment="1">
      <alignment horizontal="center" vertical="center"/>
    </xf>
  </cellXfs>
  <cellStyles count="5">
    <cellStyle name="쉼표 [0]" xfId="1" builtinId="6"/>
    <cellStyle name="쉼표 [0] 2" xfId="3" xr:uid="{00000000-0005-0000-0000-000001000000}"/>
    <cellStyle name="통화 [0] 2" xfId="4" xr:uid="{00000000-0005-0000-0000-000002000000}"/>
    <cellStyle name="표준" xfId="0" builtinId="0"/>
    <cellStyle name="표준 2" xfId="2" xr:uid="{00000000-0005-0000-0000-000004000000}"/>
  </cellStyles>
  <dxfs count="1">
    <dxf>
      <font>
        <b/>
        <i val="0"/>
        <color rgb="FF0070C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ko-KR" altLang="en-US" sz="1200">
                <a:latin typeface="궁서체" panose="02030609000101010101" pitchFamily="17" charset="-127"/>
                <a:ea typeface="궁서체" panose="02030609000101010101" pitchFamily="17" charset="-127"/>
              </a:rPr>
              <a:t>한국 성장률 전망 및 실적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차트작업!$A$6</c:f>
              <c:strCache>
                <c:ptCount val="1"/>
                <c:pt idx="0">
                  <c:v>JP모간</c:v>
                </c:pt>
              </c:strCache>
            </c:strRef>
          </c:tx>
          <c:cat>
            <c:strRef>
              <c:f>차트작업!$B$3:$E$3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차트작업!$B$6:$E$6</c:f>
              <c:numCache>
                <c:formatCode>0.0_ </c:formatCode>
                <c:ptCount val="4"/>
                <c:pt idx="0">
                  <c:v>4.5</c:v>
                </c:pt>
                <c:pt idx="1">
                  <c:v>4.5</c:v>
                </c:pt>
                <c:pt idx="2" formatCode="General">
                  <c:v>4.8</c:v>
                </c:pt>
                <c:pt idx="3" formatCode="General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6-4457-888B-6E2B22F6C16D}"/>
            </c:ext>
          </c:extLst>
        </c:ser>
        <c:ser>
          <c:idx val="1"/>
          <c:order val="1"/>
          <c:tx>
            <c:strRef>
              <c:f>차트작업!$A$8</c:f>
              <c:strCache>
                <c:ptCount val="1"/>
                <c:pt idx="0">
                  <c:v>UBS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차트작업!$B$3:$E$3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차트작업!$B$8:$E$8</c:f>
              <c:numCache>
                <c:formatCode>0.0_ </c:formatCode>
                <c:ptCount val="4"/>
                <c:pt idx="0">
                  <c:v>3.9</c:v>
                </c:pt>
                <c:pt idx="1">
                  <c:v>3.7</c:v>
                </c:pt>
                <c:pt idx="2" formatCode="General">
                  <c:v>4.2</c:v>
                </c:pt>
                <c:pt idx="3" formatCode="General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A6-4457-888B-6E2B22F6C16D}"/>
            </c:ext>
          </c:extLst>
        </c:ser>
        <c:ser>
          <c:idx val="2"/>
          <c:order val="2"/>
          <c:tx>
            <c:strRef>
              <c:f>차트작업!$A$5</c:f>
              <c:strCache>
                <c:ptCount val="1"/>
                <c:pt idx="0">
                  <c:v>모건스탠리</c:v>
                </c:pt>
              </c:strCache>
            </c:strRef>
          </c:tx>
          <c:cat>
            <c:strRef>
              <c:f>차트작업!$B$3:$E$3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차트작업!$B$5:$E$5</c:f>
              <c:numCache>
                <c:formatCode>0.0_ </c:formatCode>
                <c:ptCount val="4"/>
                <c:pt idx="0">
                  <c:v>3.3</c:v>
                </c:pt>
                <c:pt idx="1">
                  <c:v>4.5</c:v>
                </c:pt>
                <c:pt idx="2" formatCode="General">
                  <c:v>4.8</c:v>
                </c:pt>
                <c:pt idx="3" formatCode="General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A3-45DB-A813-E50914CCC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15424"/>
        <c:axId val="74217728"/>
      </c:lineChart>
      <c:catAx>
        <c:axId val="742154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4217728"/>
        <c:crosses val="autoZero"/>
        <c:auto val="1"/>
        <c:lblAlgn val="ctr"/>
        <c:lblOffset val="100"/>
        <c:noMultiLvlLbl val="0"/>
      </c:catAx>
      <c:valAx>
        <c:axId val="742177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altLang="ko-KR"/>
                  <a:t>(</a:t>
                </a:r>
                <a:r>
                  <a:rPr lang="ko-KR" altLang="en-US"/>
                  <a:t>단위</a:t>
                </a:r>
                <a:r>
                  <a:rPr lang="en-US" altLang="ko-KR"/>
                  <a:t>:%)</a:t>
                </a:r>
                <a:endParaRPr lang="ko-KR" altLang="en-US"/>
              </a:p>
            </c:rich>
          </c:tx>
          <c:overlay val="0"/>
        </c:title>
        <c:numFmt formatCode="0.0_ " sourceLinked="1"/>
        <c:majorTickMark val="out"/>
        <c:minorTickMark val="none"/>
        <c:tickLblPos val="nextTo"/>
        <c:crossAx val="74215424"/>
        <c:crosses val="autoZero"/>
        <c:crossBetween val="between"/>
        <c:majorUnit val="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[0]!합계" textlink="">
      <xdr:nvSpPr>
        <xdr:cNvPr id="4" name="사각형: 둥근 모서리 1">
          <a:extLst>
            <a:ext uri="{FF2B5EF4-FFF2-40B4-BE49-F238E27FC236}">
              <a16:creationId xmlns:a16="http://schemas.microsoft.com/office/drawing/2014/main" id="{754E6E37-CD6C-6509-AFAD-922BB2F047B8}"/>
            </a:ext>
          </a:extLst>
        </xdr:cNvPr>
        <xdr:cNvSpPr/>
      </xdr:nvSpPr>
      <xdr:spPr>
        <a:xfrm>
          <a:off x="5810250" y="752475"/>
          <a:ext cx="137160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합계</a:t>
          </a:r>
        </a:p>
      </xdr:txBody>
    </xdr:sp>
    <xdr:clientData/>
  </xdr:twoCellAnchor>
  <xdr:twoCellAnchor>
    <xdr:from>
      <xdr:col>11</xdr:col>
      <xdr:colOff>0</xdr:colOff>
      <xdr:row>6</xdr:row>
      <xdr:rowOff>0</xdr:rowOff>
    </xdr:from>
    <xdr:to>
      <xdr:col>13</xdr:col>
      <xdr:colOff>0</xdr:colOff>
      <xdr:row>8</xdr:row>
      <xdr:rowOff>0</xdr:rowOff>
    </xdr:to>
    <xdr:sp macro="[0]!비율" textlink="">
      <xdr:nvSpPr>
        <xdr:cNvPr id="5" name="십자형 1">
          <a:extLst>
            <a:ext uri="{FF2B5EF4-FFF2-40B4-BE49-F238E27FC236}">
              <a16:creationId xmlns:a16="http://schemas.microsoft.com/office/drawing/2014/main" id="{F7BC5994-52D1-CA3C-75ED-9781995F9691}"/>
            </a:ext>
          </a:extLst>
        </xdr:cNvPr>
        <xdr:cNvSpPr/>
      </xdr:nvSpPr>
      <xdr:spPr>
        <a:xfrm>
          <a:off x="5810250" y="1381125"/>
          <a:ext cx="1371600" cy="419100"/>
        </a:xfrm>
        <a:prstGeom prst="plu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비율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4</xdr:col>
      <xdr:colOff>1114424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workbookViewId="0"/>
  </sheetViews>
  <sheetFormatPr defaultRowHeight="16.5"/>
  <cols>
    <col min="1" max="1" width="10.25" customWidth="1"/>
    <col min="2" max="2" width="16.375" customWidth="1"/>
    <col min="3" max="3" width="14.625" bestFit="1" customWidth="1"/>
    <col min="4" max="4" width="15.125" bestFit="1" customWidth="1"/>
    <col min="5" max="5" width="10.875" bestFit="1" customWidth="1"/>
    <col min="6" max="6" width="10.25" bestFit="1" customWidth="1"/>
  </cols>
  <sheetData>
    <row r="1" spans="1:7">
      <c r="A1" t="s">
        <v>156</v>
      </c>
    </row>
    <row r="3" spans="1:7">
      <c r="A3" t="s">
        <v>164</v>
      </c>
      <c r="B3" t="s">
        <v>165</v>
      </c>
      <c r="C3" t="s">
        <v>166</v>
      </c>
      <c r="D3" t="s">
        <v>167</v>
      </c>
      <c r="E3" t="s">
        <v>168</v>
      </c>
      <c r="F3" t="s">
        <v>169</v>
      </c>
      <c r="G3" t="s">
        <v>170</v>
      </c>
    </row>
    <row r="4" spans="1:7">
      <c r="A4" t="s">
        <v>171</v>
      </c>
      <c r="B4" t="s">
        <v>202</v>
      </c>
      <c r="C4" s="32">
        <v>45343</v>
      </c>
      <c r="D4" t="s">
        <v>172</v>
      </c>
      <c r="E4" s="33">
        <v>1550000</v>
      </c>
      <c r="F4" t="s">
        <v>173</v>
      </c>
      <c r="G4" t="s">
        <v>174</v>
      </c>
    </row>
    <row r="5" spans="1:7">
      <c r="A5" t="s">
        <v>175</v>
      </c>
      <c r="B5" t="s">
        <v>203</v>
      </c>
      <c r="C5" s="32">
        <v>45345</v>
      </c>
      <c r="D5" t="s">
        <v>176</v>
      </c>
      <c r="E5" s="33">
        <v>1690000</v>
      </c>
      <c r="F5" t="s">
        <v>177</v>
      </c>
      <c r="G5" t="s">
        <v>178</v>
      </c>
    </row>
    <row r="6" spans="1:7">
      <c r="A6" t="s">
        <v>179</v>
      </c>
      <c r="B6" t="s">
        <v>204</v>
      </c>
      <c r="C6" s="32">
        <v>45348</v>
      </c>
      <c r="D6" t="s">
        <v>180</v>
      </c>
      <c r="E6" s="33">
        <v>1480000</v>
      </c>
      <c r="F6" t="s">
        <v>181</v>
      </c>
      <c r="G6" t="s">
        <v>182</v>
      </c>
    </row>
    <row r="7" spans="1:7">
      <c r="A7" t="s">
        <v>183</v>
      </c>
      <c r="B7" t="s">
        <v>205</v>
      </c>
      <c r="C7" s="32">
        <v>45355</v>
      </c>
      <c r="D7" t="s">
        <v>184</v>
      </c>
      <c r="E7" s="33">
        <v>1680000</v>
      </c>
      <c r="F7" t="s">
        <v>185</v>
      </c>
      <c r="G7" t="s">
        <v>186</v>
      </c>
    </row>
    <row r="8" spans="1:7">
      <c r="A8" t="s">
        <v>187</v>
      </c>
      <c r="B8" t="s">
        <v>188</v>
      </c>
      <c r="C8" t="s">
        <v>189</v>
      </c>
      <c r="D8" t="s">
        <v>190</v>
      </c>
      <c r="E8" s="33">
        <v>1720000</v>
      </c>
      <c r="F8" t="s">
        <v>191</v>
      </c>
      <c r="G8" t="s">
        <v>192</v>
      </c>
    </row>
    <row r="9" spans="1:7">
      <c r="A9" t="s">
        <v>193</v>
      </c>
      <c r="B9" t="s">
        <v>206</v>
      </c>
      <c r="C9" s="32">
        <v>45362</v>
      </c>
      <c r="D9" t="s">
        <v>194</v>
      </c>
      <c r="E9" s="33">
        <v>1650000</v>
      </c>
      <c r="F9" t="s">
        <v>195</v>
      </c>
      <c r="G9" t="s">
        <v>196</v>
      </c>
    </row>
    <row r="10" spans="1:7">
      <c r="A10" t="s">
        <v>197</v>
      </c>
      <c r="B10" t="s">
        <v>207</v>
      </c>
      <c r="C10" t="s">
        <v>198</v>
      </c>
      <c r="D10" t="s">
        <v>199</v>
      </c>
      <c r="E10" s="33">
        <v>1520000</v>
      </c>
      <c r="F10" t="s">
        <v>200</v>
      </c>
      <c r="G10" t="s">
        <v>201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"/>
  <sheetViews>
    <sheetView workbookViewId="0">
      <selection sqref="A1:G1"/>
    </sheetView>
  </sheetViews>
  <sheetFormatPr defaultRowHeight="16.5"/>
  <cols>
    <col min="2" max="7" width="13.625" customWidth="1"/>
  </cols>
  <sheetData>
    <row r="1" spans="1:7" ht="21.75">
      <c r="A1" s="56" t="s">
        <v>6</v>
      </c>
      <c r="B1" s="56"/>
      <c r="C1" s="56"/>
      <c r="D1" s="56"/>
      <c r="E1" s="56"/>
      <c r="F1" s="56"/>
      <c r="G1" s="56"/>
    </row>
    <row r="3" spans="1:7">
      <c r="A3" s="55" t="s">
        <v>0</v>
      </c>
      <c r="B3" s="57" t="s">
        <v>1</v>
      </c>
      <c r="C3" s="57"/>
      <c r="D3" s="57" t="s">
        <v>2</v>
      </c>
      <c r="E3" s="57"/>
      <c r="F3" s="57" t="s">
        <v>3</v>
      </c>
      <c r="G3" s="57"/>
    </row>
    <row r="4" spans="1:7">
      <c r="A4" s="55"/>
      <c r="B4" s="52" t="s">
        <v>4</v>
      </c>
      <c r="C4" s="52" t="s">
        <v>5</v>
      </c>
      <c r="D4" s="52" t="s">
        <v>4</v>
      </c>
      <c r="E4" s="52" t="s">
        <v>5</v>
      </c>
      <c r="F4" s="52" t="s">
        <v>4</v>
      </c>
      <c r="G4" s="52" t="s">
        <v>5</v>
      </c>
    </row>
    <row r="5" spans="1:7">
      <c r="A5" s="52" t="s">
        <v>157</v>
      </c>
      <c r="B5" s="53">
        <v>30.2</v>
      </c>
      <c r="C5" s="53">
        <v>22.9</v>
      </c>
      <c r="D5" s="53">
        <v>35</v>
      </c>
      <c r="E5" s="53">
        <v>19.100000000000001</v>
      </c>
      <c r="F5" s="53">
        <v>32.200000000000003</v>
      </c>
      <c r="G5" s="53">
        <v>14.8</v>
      </c>
    </row>
    <row r="6" spans="1:7">
      <c r="A6" s="52" t="s">
        <v>158</v>
      </c>
      <c r="B6" s="53">
        <v>31.8</v>
      </c>
      <c r="C6" s="53">
        <v>25.1</v>
      </c>
      <c r="D6" s="53">
        <v>35.4</v>
      </c>
      <c r="E6" s="53">
        <v>19.399999999999999</v>
      </c>
      <c r="F6" s="53">
        <v>33.9</v>
      </c>
      <c r="G6" s="53">
        <v>15.9</v>
      </c>
    </row>
    <row r="7" spans="1:7">
      <c r="A7" s="52" t="s">
        <v>159</v>
      </c>
      <c r="B7" s="53">
        <v>36.4</v>
      </c>
      <c r="C7" s="53">
        <v>28.2</v>
      </c>
      <c r="D7" s="53">
        <v>48.2</v>
      </c>
      <c r="E7" s="53">
        <v>24.8</v>
      </c>
      <c r="F7" s="53">
        <v>48</v>
      </c>
      <c r="G7" s="53">
        <v>22.1</v>
      </c>
    </row>
    <row r="8" spans="1:7">
      <c r="A8" s="52" t="s">
        <v>160</v>
      </c>
      <c r="B8" s="53">
        <v>44.7</v>
      </c>
      <c r="C8" s="53">
        <v>38.299999999999997</v>
      </c>
      <c r="D8" s="53">
        <v>61.7</v>
      </c>
      <c r="E8" s="53">
        <v>41.2</v>
      </c>
      <c r="F8" s="53">
        <v>58</v>
      </c>
      <c r="G8" s="53">
        <v>31.6</v>
      </c>
    </row>
    <row r="9" spans="1:7">
      <c r="A9" s="52" t="s">
        <v>161</v>
      </c>
      <c r="B9" s="53">
        <v>56.7</v>
      </c>
      <c r="C9" s="53">
        <v>51.8</v>
      </c>
      <c r="D9" s="53">
        <v>64.5</v>
      </c>
      <c r="E9" s="53">
        <v>43.1</v>
      </c>
      <c r="F9" s="53">
        <v>59.8</v>
      </c>
      <c r="G9" s="53">
        <v>31.7</v>
      </c>
    </row>
    <row r="10" spans="1:7">
      <c r="A10" s="52" t="s">
        <v>162</v>
      </c>
      <c r="B10" s="53">
        <v>65.400000000000006</v>
      </c>
      <c r="C10" s="53">
        <v>62.4</v>
      </c>
      <c r="D10" s="53">
        <v>60.7</v>
      </c>
      <c r="E10" s="53">
        <v>39.4</v>
      </c>
      <c r="F10" s="53">
        <v>59.8</v>
      </c>
      <c r="G10" s="53">
        <v>32.200000000000003</v>
      </c>
    </row>
  </sheetData>
  <mergeCells count="5">
    <mergeCell ref="A3:A4"/>
    <mergeCell ref="A1:G1"/>
    <mergeCell ref="F3:G3"/>
    <mergeCell ref="D3:E3"/>
    <mergeCell ref="B3:C3"/>
  </mergeCells>
  <phoneticPr fontId="2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3"/>
  <sheetViews>
    <sheetView workbookViewId="0">
      <selection sqref="A1:I1"/>
    </sheetView>
  </sheetViews>
  <sheetFormatPr defaultRowHeight="16.5"/>
  <sheetData>
    <row r="1" spans="1:9" ht="26.25">
      <c r="A1" s="58" t="s">
        <v>163</v>
      </c>
      <c r="B1" s="58"/>
      <c r="C1" s="58"/>
      <c r="D1" s="58"/>
      <c r="E1" s="58"/>
      <c r="F1" s="58"/>
      <c r="G1" s="58"/>
      <c r="H1" s="58"/>
      <c r="I1" s="58"/>
    </row>
    <row r="2" spans="1:9">
      <c r="A2" s="3"/>
      <c r="B2" s="3"/>
      <c r="C2" s="3"/>
      <c r="D2" s="3"/>
      <c r="E2" s="3"/>
      <c r="F2" s="3"/>
      <c r="G2" s="3"/>
      <c r="H2" s="3"/>
      <c r="I2" s="3"/>
    </row>
    <row r="3" spans="1:9">
      <c r="A3" s="5" t="s">
        <v>120</v>
      </c>
      <c r="B3" s="5" t="s">
        <v>121</v>
      </c>
      <c r="C3" s="5" t="s">
        <v>122</v>
      </c>
      <c r="D3" s="5" t="s">
        <v>123</v>
      </c>
      <c r="E3" s="23" t="s">
        <v>124</v>
      </c>
      <c r="F3" s="5" t="s">
        <v>125</v>
      </c>
      <c r="G3" s="5" t="s">
        <v>126</v>
      </c>
      <c r="H3" s="5" t="s">
        <v>127</v>
      </c>
      <c r="I3" s="5" t="s">
        <v>128</v>
      </c>
    </row>
    <row r="4" spans="1:9">
      <c r="A4" s="5" t="s">
        <v>130</v>
      </c>
      <c r="B4" s="24">
        <v>40</v>
      </c>
      <c r="C4" s="25">
        <v>12</v>
      </c>
      <c r="D4" s="25">
        <v>11</v>
      </c>
      <c r="E4" s="25">
        <v>3</v>
      </c>
      <c r="F4" s="26">
        <v>3</v>
      </c>
      <c r="G4" s="26">
        <v>3</v>
      </c>
      <c r="H4" s="26">
        <v>1</v>
      </c>
      <c r="I4" s="26">
        <v>33</v>
      </c>
    </row>
    <row r="5" spans="1:9">
      <c r="A5" s="5" t="s">
        <v>131</v>
      </c>
      <c r="B5" s="24">
        <v>80</v>
      </c>
      <c r="C5" s="25">
        <v>11</v>
      </c>
      <c r="D5" s="25">
        <v>13</v>
      </c>
      <c r="E5" s="25">
        <v>6</v>
      </c>
      <c r="F5" s="26">
        <v>3</v>
      </c>
      <c r="G5" s="26">
        <v>6</v>
      </c>
      <c r="H5" s="26">
        <v>4</v>
      </c>
      <c r="I5" s="26">
        <v>43</v>
      </c>
    </row>
    <row r="6" spans="1:9">
      <c r="A6" s="5" t="s">
        <v>132</v>
      </c>
      <c r="B6" s="24">
        <v>120</v>
      </c>
      <c r="C6" s="25">
        <v>19</v>
      </c>
      <c r="D6" s="25">
        <v>20</v>
      </c>
      <c r="E6" s="25">
        <v>18</v>
      </c>
      <c r="F6" s="26">
        <v>8</v>
      </c>
      <c r="G6" s="26">
        <v>6</v>
      </c>
      <c r="H6" s="26">
        <v>0</v>
      </c>
      <c r="I6" s="26">
        <v>71</v>
      </c>
    </row>
    <row r="7" spans="1:9">
      <c r="A7" s="5" t="s">
        <v>133</v>
      </c>
      <c r="B7" s="24">
        <v>70</v>
      </c>
      <c r="C7" s="25">
        <v>6</v>
      </c>
      <c r="D7" s="25">
        <v>9</v>
      </c>
      <c r="E7" s="25">
        <v>8</v>
      </c>
      <c r="F7" s="26">
        <v>2</v>
      </c>
      <c r="G7" s="26">
        <v>3</v>
      </c>
      <c r="H7" s="26">
        <v>6</v>
      </c>
      <c r="I7" s="26">
        <v>34</v>
      </c>
    </row>
    <row r="8" spans="1:9">
      <c r="A8" s="23" t="s">
        <v>134</v>
      </c>
      <c r="B8" s="24">
        <v>60</v>
      </c>
      <c r="C8" s="25">
        <v>10</v>
      </c>
      <c r="D8" s="25">
        <v>10</v>
      </c>
      <c r="E8" s="25">
        <v>9</v>
      </c>
      <c r="F8" s="26">
        <v>3</v>
      </c>
      <c r="G8" s="26">
        <v>6</v>
      </c>
      <c r="H8" s="26">
        <v>1</v>
      </c>
      <c r="I8" s="26">
        <v>39</v>
      </c>
    </row>
    <row r="9" spans="1:9">
      <c r="A9" s="5" t="s">
        <v>135</v>
      </c>
      <c r="B9" s="24">
        <v>120</v>
      </c>
      <c r="C9" s="25">
        <v>12</v>
      </c>
      <c r="D9" s="25">
        <v>10</v>
      </c>
      <c r="E9" s="25">
        <v>16</v>
      </c>
      <c r="F9" s="26">
        <v>9</v>
      </c>
      <c r="G9" s="26">
        <v>7</v>
      </c>
      <c r="H9" s="26">
        <v>7</v>
      </c>
      <c r="I9" s="26">
        <v>61</v>
      </c>
    </row>
    <row r="10" spans="1:9">
      <c r="A10" s="5" t="s">
        <v>136</v>
      </c>
      <c r="B10" s="24">
        <v>80</v>
      </c>
      <c r="C10" s="25">
        <v>9</v>
      </c>
      <c r="D10" s="25">
        <v>14</v>
      </c>
      <c r="E10" s="25">
        <v>11</v>
      </c>
      <c r="F10" s="26">
        <v>3</v>
      </c>
      <c r="G10" s="26">
        <v>4</v>
      </c>
      <c r="H10" s="26">
        <v>3</v>
      </c>
      <c r="I10" s="26">
        <v>44</v>
      </c>
    </row>
    <row r="11" spans="1:9">
      <c r="A11" s="5" t="s">
        <v>137</v>
      </c>
      <c r="B11" s="24">
        <v>40</v>
      </c>
      <c r="C11" s="25">
        <v>5</v>
      </c>
      <c r="D11" s="25">
        <v>7</v>
      </c>
      <c r="E11" s="25">
        <v>1</v>
      </c>
      <c r="F11" s="26">
        <v>3</v>
      </c>
      <c r="G11" s="26">
        <v>2</v>
      </c>
      <c r="H11" s="26">
        <v>3</v>
      </c>
      <c r="I11" s="26">
        <v>21</v>
      </c>
    </row>
    <row r="12" spans="1:9">
      <c r="A12" s="5" t="s">
        <v>138</v>
      </c>
      <c r="B12" s="26">
        <v>100</v>
      </c>
      <c r="C12" s="25">
        <v>22</v>
      </c>
      <c r="D12" s="25">
        <v>13</v>
      </c>
      <c r="E12" s="25">
        <v>8</v>
      </c>
      <c r="F12" s="26">
        <v>6</v>
      </c>
      <c r="G12" s="26">
        <v>2</v>
      </c>
      <c r="H12" s="26">
        <v>5</v>
      </c>
      <c r="I12" s="26">
        <v>56</v>
      </c>
    </row>
    <row r="13" spans="1:9">
      <c r="A13" s="5" t="s">
        <v>139</v>
      </c>
      <c r="B13" s="26">
        <v>70</v>
      </c>
      <c r="C13" s="25">
        <v>9</v>
      </c>
      <c r="D13" s="25">
        <v>12</v>
      </c>
      <c r="E13" s="25">
        <v>9</v>
      </c>
      <c r="F13" s="26">
        <v>3</v>
      </c>
      <c r="G13" s="26">
        <v>3</v>
      </c>
      <c r="H13" s="26">
        <v>3</v>
      </c>
      <c r="I13" s="26">
        <v>39</v>
      </c>
    </row>
  </sheetData>
  <mergeCells count="1">
    <mergeCell ref="A1:I1"/>
  </mergeCells>
  <phoneticPr fontId="2" type="noConversion"/>
  <conditionalFormatting sqref="A4:I13">
    <cfRule type="expression" dxfId="0" priority="1">
      <formula>OR($I4&gt;=60,$B4&gt;=100)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5"/>
  <sheetViews>
    <sheetView workbookViewId="0"/>
  </sheetViews>
  <sheetFormatPr defaultRowHeight="16.5"/>
  <cols>
    <col min="1" max="1" width="9.625" customWidth="1"/>
    <col min="2" max="3" width="12.75" customWidth="1"/>
    <col min="4" max="4" width="14.625" customWidth="1"/>
    <col min="6" max="10" width="10.375" customWidth="1"/>
  </cols>
  <sheetData>
    <row r="1" spans="1:10">
      <c r="A1" s="4" t="s">
        <v>7</v>
      </c>
      <c r="B1" s="4"/>
      <c r="C1" s="4"/>
      <c r="D1" s="4"/>
      <c r="E1" s="4"/>
      <c r="F1" s="4" t="s">
        <v>8</v>
      </c>
      <c r="G1" s="4"/>
      <c r="H1" s="4"/>
      <c r="I1" s="4"/>
      <c r="J1" s="4"/>
    </row>
    <row r="2" spans="1:10">
      <c r="A2" s="5" t="s">
        <v>9</v>
      </c>
      <c r="B2" s="5" t="s">
        <v>10</v>
      </c>
      <c r="C2" s="5" t="s">
        <v>11</v>
      </c>
      <c r="D2" s="6" t="s">
        <v>12</v>
      </c>
      <c r="E2" s="4"/>
      <c r="F2" s="5" t="s">
        <v>13</v>
      </c>
      <c r="G2" s="5" t="s">
        <v>14</v>
      </c>
      <c r="H2" s="5" t="s">
        <v>15</v>
      </c>
      <c r="I2" s="5" t="s">
        <v>16</v>
      </c>
      <c r="J2" s="6" t="s">
        <v>17</v>
      </c>
    </row>
    <row r="3" spans="1:10">
      <c r="A3" s="5">
        <v>3001</v>
      </c>
      <c r="B3" s="5" t="s">
        <v>18</v>
      </c>
      <c r="C3" s="5" t="s">
        <v>19</v>
      </c>
      <c r="D3" s="5" t="str">
        <f>CHOOSE(LEFT(A3,1),"인문","자연","예체능","전문")</f>
        <v>예체능</v>
      </c>
      <c r="E3" s="4"/>
      <c r="F3" s="5" t="s">
        <v>68</v>
      </c>
      <c r="G3" s="5">
        <v>82</v>
      </c>
      <c r="H3" s="5">
        <v>431</v>
      </c>
      <c r="I3" s="5">
        <v>412</v>
      </c>
      <c r="J3" s="5" t="str">
        <f>IF(AND(G3&gt;=60,OR(H3&gt;=400,I3&gt;=400)),"합격","")</f>
        <v>합격</v>
      </c>
    </row>
    <row r="4" spans="1:10">
      <c r="A4" s="5">
        <v>1001</v>
      </c>
      <c r="B4" s="5" t="s">
        <v>20</v>
      </c>
      <c r="C4" s="5" t="s">
        <v>21</v>
      </c>
      <c r="D4" s="5" t="str">
        <f t="shared" ref="D4:D9" si="0">CHOOSE(LEFT(A4,1),"인문","자연","예체능","전문")</f>
        <v>인문</v>
      </c>
      <c r="E4" s="4"/>
      <c r="F4" s="5" t="s">
        <v>69</v>
      </c>
      <c r="G4" s="5">
        <v>78</v>
      </c>
      <c r="H4" s="5">
        <v>389</v>
      </c>
      <c r="I4" s="5">
        <v>399</v>
      </c>
      <c r="J4" s="5" t="str">
        <f t="shared" ref="J4:J9" si="1">IF(AND(G4&gt;=60,OR(H4&gt;=400,I4&gt;=400)),"합격","")</f>
        <v/>
      </c>
    </row>
    <row r="5" spans="1:10">
      <c r="A5" s="5">
        <v>4001</v>
      </c>
      <c r="B5" s="5" t="s">
        <v>22</v>
      </c>
      <c r="C5" s="5" t="s">
        <v>23</v>
      </c>
      <c r="D5" s="5" t="str">
        <f t="shared" si="0"/>
        <v>전문</v>
      </c>
      <c r="E5" s="4"/>
      <c r="F5" s="5" t="s">
        <v>70</v>
      </c>
      <c r="G5" s="5">
        <v>48</v>
      </c>
      <c r="H5" s="5">
        <v>399</v>
      </c>
      <c r="I5" s="5">
        <v>401</v>
      </c>
      <c r="J5" s="5" t="str">
        <f t="shared" si="1"/>
        <v/>
      </c>
    </row>
    <row r="6" spans="1:10">
      <c r="A6" s="5">
        <v>3002</v>
      </c>
      <c r="B6" s="5" t="s">
        <v>24</v>
      </c>
      <c r="C6" s="5" t="s">
        <v>23</v>
      </c>
      <c r="D6" s="5" t="str">
        <f t="shared" si="0"/>
        <v>예체능</v>
      </c>
      <c r="E6" s="4"/>
      <c r="F6" s="5" t="s">
        <v>71</v>
      </c>
      <c r="G6" s="5">
        <v>91</v>
      </c>
      <c r="H6" s="5">
        <v>394</v>
      </c>
      <c r="I6" s="5">
        <v>407</v>
      </c>
      <c r="J6" s="5" t="str">
        <f t="shared" si="1"/>
        <v>합격</v>
      </c>
    </row>
    <row r="7" spans="1:10">
      <c r="A7" s="5">
        <v>1002</v>
      </c>
      <c r="B7" s="5" t="s">
        <v>25</v>
      </c>
      <c r="C7" s="5" t="s">
        <v>21</v>
      </c>
      <c r="D7" s="5" t="str">
        <f t="shared" si="0"/>
        <v>인문</v>
      </c>
      <c r="E7" s="4"/>
      <c r="F7" s="5" t="s">
        <v>72</v>
      </c>
      <c r="G7" s="5">
        <v>87</v>
      </c>
      <c r="H7" s="5">
        <v>418</v>
      </c>
      <c r="I7" s="5">
        <v>387</v>
      </c>
      <c r="J7" s="5" t="str">
        <f t="shared" si="1"/>
        <v>합격</v>
      </c>
    </row>
    <row r="8" spans="1:10">
      <c r="A8" s="5">
        <v>2001</v>
      </c>
      <c r="B8" s="5" t="s">
        <v>26</v>
      </c>
      <c r="C8" s="5" t="s">
        <v>19</v>
      </c>
      <c r="D8" s="5" t="str">
        <f t="shared" si="0"/>
        <v>자연</v>
      </c>
      <c r="E8" s="4"/>
      <c r="F8" s="5" t="s">
        <v>73</v>
      </c>
      <c r="G8" s="5">
        <v>59</v>
      </c>
      <c r="H8" s="5">
        <v>379</v>
      </c>
      <c r="I8" s="5">
        <v>412</v>
      </c>
      <c r="J8" s="5" t="str">
        <f t="shared" si="1"/>
        <v/>
      </c>
    </row>
    <row r="9" spans="1:10">
      <c r="A9" s="5">
        <v>4002</v>
      </c>
      <c r="B9" s="5" t="s">
        <v>27</v>
      </c>
      <c r="C9" s="5" t="s">
        <v>28</v>
      </c>
      <c r="D9" s="5" t="str">
        <f t="shared" si="0"/>
        <v>전문</v>
      </c>
      <c r="E9" s="4"/>
      <c r="F9" s="5" t="s">
        <v>74</v>
      </c>
      <c r="G9" s="5">
        <v>85</v>
      </c>
      <c r="H9" s="5">
        <v>405</v>
      </c>
      <c r="I9" s="5">
        <v>405</v>
      </c>
      <c r="J9" s="5" t="str">
        <f t="shared" si="1"/>
        <v>합격</v>
      </c>
    </row>
    <row r="10" spans="1:10">
      <c r="A10" s="3"/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3"/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4" t="s">
        <v>29</v>
      </c>
      <c r="B12" s="4"/>
      <c r="C12" s="4"/>
      <c r="D12" s="7"/>
      <c r="E12" s="4"/>
      <c r="F12" s="4" t="s">
        <v>30</v>
      </c>
      <c r="G12" s="4"/>
      <c r="H12" s="4"/>
      <c r="I12" s="4"/>
      <c r="J12" s="4"/>
    </row>
    <row r="13" spans="1:10">
      <c r="A13" s="5" t="s">
        <v>31</v>
      </c>
      <c r="B13" s="5" t="s">
        <v>32</v>
      </c>
      <c r="C13" s="5" t="s">
        <v>33</v>
      </c>
      <c r="D13" s="6" t="s">
        <v>34</v>
      </c>
      <c r="E13" s="4"/>
      <c r="F13" s="5" t="s">
        <v>35</v>
      </c>
      <c r="G13" s="5" t="s">
        <v>36</v>
      </c>
      <c r="H13" s="5" t="s">
        <v>10</v>
      </c>
      <c r="I13" s="5" t="s">
        <v>37</v>
      </c>
      <c r="J13" s="4"/>
    </row>
    <row r="14" spans="1:10">
      <c r="A14" s="5" t="s">
        <v>38</v>
      </c>
      <c r="B14" s="5" t="s">
        <v>39</v>
      </c>
      <c r="C14" s="8">
        <v>3000000</v>
      </c>
      <c r="D14" s="9">
        <f>IFERROR(C14*HLOOKUP(B14,$B$23:$D$24,2,FALSE),"예금종류오류")</f>
        <v>561000</v>
      </c>
      <c r="E14" s="4"/>
      <c r="F14" s="5" t="s">
        <v>40</v>
      </c>
      <c r="G14" s="10">
        <v>1</v>
      </c>
      <c r="H14" s="10" t="s">
        <v>41</v>
      </c>
      <c r="I14" s="10">
        <v>465</v>
      </c>
      <c r="J14" s="4"/>
    </row>
    <row r="15" spans="1:10">
      <c r="A15" s="5" t="s">
        <v>42</v>
      </c>
      <c r="B15" s="5" t="s">
        <v>151</v>
      </c>
      <c r="C15" s="8">
        <v>1500000</v>
      </c>
      <c r="D15" s="9" t="str">
        <f t="shared" ref="D15:D20" si="2">IFERROR(C15*HLOOKUP(B15,$B$23:$D$24,2,FALSE),"예금종류오류")</f>
        <v>예금종류오류</v>
      </c>
      <c r="E15" s="4"/>
      <c r="F15" s="5" t="s">
        <v>44</v>
      </c>
      <c r="G15" s="10">
        <v>2</v>
      </c>
      <c r="H15" s="10" t="s">
        <v>45</v>
      </c>
      <c r="I15" s="10">
        <v>604</v>
      </c>
      <c r="J15" s="4"/>
    </row>
    <row r="16" spans="1:10">
      <c r="A16" s="5" t="s">
        <v>46</v>
      </c>
      <c r="B16" s="5" t="s">
        <v>39</v>
      </c>
      <c r="C16" s="8">
        <v>2000000</v>
      </c>
      <c r="D16" s="9">
        <f t="shared" si="2"/>
        <v>374000</v>
      </c>
      <c r="E16" s="4"/>
      <c r="F16" s="5" t="s">
        <v>44</v>
      </c>
      <c r="G16" s="10">
        <v>3</v>
      </c>
      <c r="H16" s="10" t="s">
        <v>47</v>
      </c>
      <c r="I16" s="10">
        <v>383</v>
      </c>
      <c r="J16" s="4"/>
    </row>
    <row r="17" spans="1:10">
      <c r="A17" s="5" t="s">
        <v>48</v>
      </c>
      <c r="B17" s="5" t="s">
        <v>43</v>
      </c>
      <c r="C17" s="8">
        <v>3000000</v>
      </c>
      <c r="D17" s="9">
        <f t="shared" si="2"/>
        <v>225000</v>
      </c>
      <c r="E17" s="4"/>
      <c r="F17" s="5" t="s">
        <v>40</v>
      </c>
      <c r="G17" s="10">
        <v>2</v>
      </c>
      <c r="H17" s="10" t="s">
        <v>49</v>
      </c>
      <c r="I17" s="10">
        <v>465</v>
      </c>
      <c r="J17" s="3"/>
    </row>
    <row r="18" spans="1:10">
      <c r="A18" s="5" t="s">
        <v>50</v>
      </c>
      <c r="B18" s="5" t="s">
        <v>51</v>
      </c>
      <c r="C18" s="8">
        <v>1000000</v>
      </c>
      <c r="D18" s="9">
        <f t="shared" si="2"/>
        <v>37000</v>
      </c>
      <c r="E18" s="4"/>
      <c r="F18" s="5" t="s">
        <v>44</v>
      </c>
      <c r="G18" s="10">
        <v>1</v>
      </c>
      <c r="H18" s="10" t="s">
        <v>52</v>
      </c>
      <c r="I18" s="10">
        <v>382</v>
      </c>
      <c r="J18" s="3"/>
    </row>
    <row r="19" spans="1:10">
      <c r="A19" s="5" t="s">
        <v>53</v>
      </c>
      <c r="B19" s="5" t="s">
        <v>39</v>
      </c>
      <c r="C19" s="8">
        <v>2500000</v>
      </c>
      <c r="D19" s="9">
        <f t="shared" si="2"/>
        <v>467500</v>
      </c>
      <c r="E19" s="4"/>
      <c r="F19" s="5" t="s">
        <v>44</v>
      </c>
      <c r="G19" s="10">
        <v>2</v>
      </c>
      <c r="H19" s="10" t="s">
        <v>54</v>
      </c>
      <c r="I19" s="10">
        <v>391</v>
      </c>
      <c r="J19" s="3"/>
    </row>
    <row r="20" spans="1:10">
      <c r="A20" s="5" t="s">
        <v>55</v>
      </c>
      <c r="B20" s="5" t="s">
        <v>51</v>
      </c>
      <c r="C20" s="8">
        <v>3000000</v>
      </c>
      <c r="D20" s="9">
        <f t="shared" si="2"/>
        <v>111000</v>
      </c>
      <c r="E20" s="4"/>
      <c r="F20" s="5" t="s">
        <v>40</v>
      </c>
      <c r="G20" s="10">
        <v>3</v>
      </c>
      <c r="H20" s="10" t="s">
        <v>56</v>
      </c>
      <c r="I20" s="10">
        <v>572</v>
      </c>
      <c r="J20" s="3"/>
    </row>
    <row r="21" spans="1:10">
      <c r="A21" s="11"/>
      <c r="B21" s="11"/>
      <c r="C21" s="12"/>
      <c r="D21" s="11"/>
      <c r="E21" s="4"/>
      <c r="F21" s="4"/>
      <c r="G21" s="4"/>
      <c r="H21" s="4"/>
      <c r="I21" s="4"/>
      <c r="J21" s="3"/>
    </row>
    <row r="22" spans="1:10">
      <c r="A22" s="61" t="s">
        <v>57</v>
      </c>
      <c r="B22" s="62"/>
      <c r="C22" s="62"/>
      <c r="D22" s="63"/>
      <c r="E22" s="4"/>
      <c r="H22" s="59" t="s">
        <v>58</v>
      </c>
      <c r="I22" s="59"/>
      <c r="J22" s="3"/>
    </row>
    <row r="23" spans="1:10">
      <c r="A23" s="5" t="s">
        <v>32</v>
      </c>
      <c r="B23" s="5" t="s">
        <v>43</v>
      </c>
      <c r="C23" s="5" t="s">
        <v>39</v>
      </c>
      <c r="D23" s="5" t="s">
        <v>51</v>
      </c>
      <c r="E23" s="4"/>
      <c r="H23" s="60" t="str">
        <f>COUNTIFS(G14:G20,2,I14:I20,"&gt;=400")&amp;"명"</f>
        <v>2명</v>
      </c>
      <c r="I23" s="60"/>
      <c r="J23" s="3"/>
    </row>
    <row r="24" spans="1:10">
      <c r="A24" s="5" t="s">
        <v>59</v>
      </c>
      <c r="B24" s="13">
        <v>7.4999999999999997E-2</v>
      </c>
      <c r="C24" s="13">
        <v>0.187</v>
      </c>
      <c r="D24" s="13">
        <v>3.6999999999999998E-2</v>
      </c>
      <c r="E24" s="4"/>
      <c r="F24" s="4"/>
      <c r="G24" s="4"/>
      <c r="H24" s="4"/>
      <c r="I24" s="4"/>
      <c r="J24" s="3"/>
    </row>
    <row r="25" spans="1:10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0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0">
      <c r="A27" s="4" t="s">
        <v>60</v>
      </c>
      <c r="B27" s="4"/>
      <c r="C27" s="4"/>
      <c r="D27" s="7"/>
      <c r="E27" s="4"/>
      <c r="F27" s="4"/>
      <c r="G27" s="4"/>
      <c r="H27" s="4"/>
      <c r="I27" s="4"/>
      <c r="J27" s="3"/>
    </row>
    <row r="28" spans="1:10">
      <c r="A28" s="5" t="s">
        <v>61</v>
      </c>
      <c r="B28" s="5" t="s">
        <v>62</v>
      </c>
      <c r="C28" s="5" t="s">
        <v>63</v>
      </c>
      <c r="D28" s="6" t="s">
        <v>64</v>
      </c>
      <c r="E28" s="4"/>
      <c r="F28" s="4"/>
      <c r="G28" s="4"/>
      <c r="H28" s="4"/>
      <c r="I28" s="4"/>
      <c r="J28" s="3"/>
    </row>
    <row r="29" spans="1:10">
      <c r="A29" s="5" t="s">
        <v>65</v>
      </c>
      <c r="B29" s="8" t="s">
        <v>75</v>
      </c>
      <c r="C29" s="8">
        <v>5487900</v>
      </c>
      <c r="D29" s="8" t="str">
        <f>IF(_xlfn.RANK.EQ(C29,$C$29:$C$35,0)&lt;=3,"우수사원","")</f>
        <v/>
      </c>
      <c r="E29" s="4"/>
      <c r="F29" s="4"/>
      <c r="G29" s="4"/>
      <c r="H29" s="4"/>
      <c r="I29" s="4"/>
      <c r="J29" s="3"/>
    </row>
    <row r="30" spans="1:10">
      <c r="A30" s="5" t="s">
        <v>66</v>
      </c>
      <c r="B30" s="8" t="s">
        <v>76</v>
      </c>
      <c r="C30" s="8">
        <v>5789200</v>
      </c>
      <c r="D30" s="8" t="str">
        <f t="shared" ref="D30:D35" si="3">IF(_xlfn.RANK.EQ(C30,$C$29:$C$35,0)&lt;=3,"우수사원","")</f>
        <v/>
      </c>
      <c r="E30" s="4"/>
      <c r="F30" s="4"/>
      <c r="G30" s="4"/>
      <c r="H30" s="4"/>
      <c r="I30" s="4"/>
      <c r="J30" s="3"/>
    </row>
    <row r="31" spans="1:10">
      <c r="A31" s="5" t="s">
        <v>66</v>
      </c>
      <c r="B31" s="8" t="s">
        <v>77</v>
      </c>
      <c r="C31" s="8">
        <v>8578900</v>
      </c>
      <c r="D31" s="8" t="str">
        <f t="shared" si="3"/>
        <v>우수사원</v>
      </c>
      <c r="E31" s="4"/>
      <c r="F31" s="4"/>
      <c r="G31" s="4"/>
      <c r="H31" s="4"/>
      <c r="I31" s="4"/>
      <c r="J31" s="3"/>
    </row>
    <row r="32" spans="1:10">
      <c r="A32" s="5" t="s">
        <v>67</v>
      </c>
      <c r="B32" s="8" t="s">
        <v>78</v>
      </c>
      <c r="C32" s="8">
        <v>6547800</v>
      </c>
      <c r="D32" s="8" t="str">
        <f t="shared" si="3"/>
        <v>우수사원</v>
      </c>
      <c r="E32" s="4"/>
      <c r="F32" s="4"/>
      <c r="G32" s="4"/>
      <c r="H32" s="4"/>
      <c r="I32" s="4"/>
      <c r="J32" s="3"/>
    </row>
    <row r="33" spans="1:10">
      <c r="A33" s="5" t="s">
        <v>65</v>
      </c>
      <c r="B33" s="8" t="s">
        <v>79</v>
      </c>
      <c r="C33" s="8">
        <v>4789000</v>
      </c>
      <c r="D33" s="8" t="str">
        <f t="shared" si="3"/>
        <v/>
      </c>
      <c r="E33" s="3"/>
      <c r="F33" s="3"/>
      <c r="G33" s="3"/>
      <c r="H33" s="3"/>
      <c r="I33" s="3"/>
      <c r="J33" s="3"/>
    </row>
    <row r="34" spans="1:10">
      <c r="A34" s="5" t="s">
        <v>67</v>
      </c>
      <c r="B34" s="8" t="s">
        <v>80</v>
      </c>
      <c r="C34" s="8">
        <v>5879300</v>
      </c>
      <c r="D34" s="8" t="str">
        <f t="shared" si="3"/>
        <v/>
      </c>
      <c r="E34" s="3"/>
      <c r="F34" s="3"/>
      <c r="G34" s="3"/>
      <c r="H34" s="3"/>
      <c r="I34" s="3"/>
      <c r="J34" s="3"/>
    </row>
    <row r="35" spans="1:10">
      <c r="A35" s="5" t="s">
        <v>66</v>
      </c>
      <c r="B35" s="8" t="s">
        <v>81</v>
      </c>
      <c r="C35" s="8">
        <v>7589000</v>
      </c>
      <c r="D35" s="8" t="str">
        <f t="shared" si="3"/>
        <v>우수사원</v>
      </c>
      <c r="E35" s="3"/>
      <c r="F35" s="3"/>
      <c r="G35" s="3"/>
      <c r="H35" s="3"/>
      <c r="I35" s="3"/>
      <c r="J35" s="3"/>
    </row>
  </sheetData>
  <mergeCells count="3">
    <mergeCell ref="H22:I22"/>
    <mergeCell ref="H23:I23"/>
    <mergeCell ref="A22:D22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1" bestFit="1" customWidth="1"/>
    <col min="4" max="6" width="9" outlineLevel="1"/>
  </cols>
  <sheetData>
    <row r="1" spans="2:6" ht="17.25" thickBot="1"/>
    <row r="2" spans="2:6">
      <c r="B2" s="37" t="s">
        <v>211</v>
      </c>
      <c r="C2" s="38"/>
      <c r="D2" s="44"/>
      <c r="E2" s="44"/>
      <c r="F2" s="44"/>
    </row>
    <row r="3" spans="2:6" collapsed="1">
      <c r="B3" s="36"/>
      <c r="C3" s="36"/>
      <c r="D3" s="45" t="s">
        <v>213</v>
      </c>
      <c r="E3" s="45" t="s">
        <v>209</v>
      </c>
      <c r="F3" s="45" t="s">
        <v>210</v>
      </c>
    </row>
    <row r="4" spans="2:6" hidden="1" outlineLevel="1">
      <c r="B4" s="40"/>
      <c r="C4" s="40"/>
      <c r="E4" s="47"/>
      <c r="F4" s="47"/>
    </row>
    <row r="5" spans="2:6">
      <c r="B5" s="41" t="s">
        <v>212</v>
      </c>
      <c r="C5" s="42"/>
      <c r="D5" s="39"/>
      <c r="E5" s="39"/>
      <c r="F5" s="39"/>
    </row>
    <row r="6" spans="2:6" outlineLevel="1">
      <c r="B6" s="40"/>
      <c r="C6" s="40" t="s">
        <v>94</v>
      </c>
      <c r="D6" s="34">
        <v>1100</v>
      </c>
      <c r="E6" s="46">
        <v>1200</v>
      </c>
      <c r="F6" s="46">
        <v>1000</v>
      </c>
    </row>
    <row r="7" spans="2:6">
      <c r="B7" s="41" t="s">
        <v>214</v>
      </c>
      <c r="C7" s="42"/>
      <c r="D7" s="39"/>
      <c r="E7" s="39"/>
      <c r="F7" s="39"/>
    </row>
    <row r="8" spans="2:6" ht="17.25" outlineLevel="1" thickBot="1">
      <c r="B8" s="43"/>
      <c r="C8" s="43" t="s">
        <v>208</v>
      </c>
      <c r="D8" s="35">
        <v>50323</v>
      </c>
      <c r="E8" s="35">
        <v>37583</v>
      </c>
      <c r="F8" s="35">
        <v>63063</v>
      </c>
    </row>
    <row r="9" spans="2:6">
      <c r="B9" t="s">
        <v>215</v>
      </c>
    </row>
    <row r="10" spans="2:6">
      <c r="B10" t="s">
        <v>216</v>
      </c>
    </row>
    <row r="11" spans="2:6">
      <c r="B11" t="s">
        <v>217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3"/>
  <sheetViews>
    <sheetView workbookViewId="0">
      <selection sqref="A1:F1"/>
    </sheetView>
  </sheetViews>
  <sheetFormatPr defaultRowHeight="16.5"/>
  <cols>
    <col min="1" max="2" width="12.625" customWidth="1"/>
    <col min="3" max="3" width="14.375" bestFit="1" customWidth="1"/>
    <col min="4" max="6" width="12.625" customWidth="1"/>
  </cols>
  <sheetData>
    <row r="1" spans="1:6" ht="26.25">
      <c r="A1" s="58" t="s">
        <v>152</v>
      </c>
      <c r="B1" s="58"/>
      <c r="C1" s="58"/>
      <c r="D1" s="58"/>
      <c r="E1" s="58"/>
      <c r="F1" s="58"/>
    </row>
    <row r="2" spans="1:6">
      <c r="A2" s="4"/>
      <c r="B2" s="4"/>
      <c r="C2" s="4"/>
      <c r="D2" s="4"/>
      <c r="E2" s="7"/>
      <c r="F2" s="4"/>
    </row>
    <row r="3" spans="1:6">
      <c r="A3" s="65" t="s">
        <v>82</v>
      </c>
      <c r="B3" s="65" t="s">
        <v>83</v>
      </c>
      <c r="C3" s="61" t="s">
        <v>84</v>
      </c>
      <c r="D3" s="62"/>
      <c r="E3" s="67" t="s">
        <v>153</v>
      </c>
      <c r="F3" s="64" t="s">
        <v>85</v>
      </c>
    </row>
    <row r="4" spans="1:6">
      <c r="A4" s="66"/>
      <c r="B4" s="66"/>
      <c r="C4" s="14" t="s">
        <v>154</v>
      </c>
      <c r="D4" s="15" t="s">
        <v>155</v>
      </c>
      <c r="E4" s="68"/>
      <c r="F4" s="64"/>
    </row>
    <row r="5" spans="1:6">
      <c r="A5" s="5" t="s">
        <v>86</v>
      </c>
      <c r="B5" s="8" t="s">
        <v>87</v>
      </c>
      <c r="C5" s="16">
        <v>3.2</v>
      </c>
      <c r="D5" s="17">
        <f>C5*$C$13</f>
        <v>3520</v>
      </c>
      <c r="E5" s="17">
        <v>4784</v>
      </c>
      <c r="F5" s="17">
        <f>E5-D5</f>
        <v>1264</v>
      </c>
    </row>
    <row r="6" spans="1:6">
      <c r="A6" s="5" t="s">
        <v>95</v>
      </c>
      <c r="B6" s="8" t="s">
        <v>88</v>
      </c>
      <c r="C6" s="16">
        <v>4.2</v>
      </c>
      <c r="D6" s="17">
        <f t="shared" ref="D6:D9" si="0">C6*$C$13</f>
        <v>4620</v>
      </c>
      <c r="E6" s="17">
        <v>6278.9999999999991</v>
      </c>
      <c r="F6" s="17">
        <f t="shared" ref="F6:F10" si="1">E6-D6</f>
        <v>1658.9999999999991</v>
      </c>
    </row>
    <row r="7" spans="1:6">
      <c r="A7" s="5" t="s">
        <v>96</v>
      </c>
      <c r="B7" s="8" t="s">
        <v>89</v>
      </c>
      <c r="C7" s="16">
        <v>22</v>
      </c>
      <c r="D7" s="17">
        <f t="shared" si="0"/>
        <v>24200</v>
      </c>
      <c r="E7" s="17">
        <v>32890</v>
      </c>
      <c r="F7" s="17">
        <f t="shared" si="1"/>
        <v>8690</v>
      </c>
    </row>
    <row r="8" spans="1:6">
      <c r="A8" s="5" t="s">
        <v>97</v>
      </c>
      <c r="B8" s="8" t="s">
        <v>90</v>
      </c>
      <c r="C8" s="16">
        <v>35</v>
      </c>
      <c r="D8" s="17">
        <f t="shared" si="0"/>
        <v>38500</v>
      </c>
      <c r="E8" s="17">
        <v>52324.999999999993</v>
      </c>
      <c r="F8" s="17">
        <f t="shared" si="1"/>
        <v>13824.999999999993</v>
      </c>
    </row>
    <row r="9" spans="1:6">
      <c r="A9" s="5" t="s">
        <v>98</v>
      </c>
      <c r="B9" s="8" t="s">
        <v>91</v>
      </c>
      <c r="C9" s="16">
        <v>60</v>
      </c>
      <c r="D9" s="17">
        <f t="shared" si="0"/>
        <v>66000</v>
      </c>
      <c r="E9" s="17">
        <v>89700</v>
      </c>
      <c r="F9" s="17">
        <f t="shared" si="1"/>
        <v>23700</v>
      </c>
    </row>
    <row r="10" spans="1:6">
      <c r="A10" s="5" t="s">
        <v>99</v>
      </c>
      <c r="B10" s="8" t="s">
        <v>92</v>
      </c>
      <c r="C10" s="16">
        <v>3</v>
      </c>
      <c r="D10" s="17">
        <f t="shared" ref="D10" si="2">C10*$C$13</f>
        <v>3300</v>
      </c>
      <c r="E10" s="17">
        <v>4485</v>
      </c>
      <c r="F10" s="17">
        <f t="shared" si="1"/>
        <v>1185</v>
      </c>
    </row>
    <row r="11" spans="1:6">
      <c r="A11" s="64" t="s">
        <v>93</v>
      </c>
      <c r="B11" s="64"/>
      <c r="C11" s="18">
        <f>SUM(C5:C10)</f>
        <v>127.4</v>
      </c>
      <c r="D11" s="17">
        <f>SUM(D5:D10)</f>
        <v>140140</v>
      </c>
      <c r="E11" s="18">
        <f>SUM(E5:E10)</f>
        <v>190463</v>
      </c>
      <c r="F11" s="17">
        <f>SUM(F5:F10)</f>
        <v>50322.999999999993</v>
      </c>
    </row>
    <row r="12" spans="1:6">
      <c r="A12" s="4"/>
      <c r="B12" s="4"/>
      <c r="C12" s="4"/>
      <c r="D12" s="19"/>
      <c r="E12" s="20"/>
      <c r="F12" s="4"/>
    </row>
    <row r="13" spans="1:6">
      <c r="A13" s="4"/>
      <c r="B13" s="21" t="s">
        <v>94</v>
      </c>
      <c r="C13" s="8">
        <v>1100</v>
      </c>
      <c r="D13" s="4"/>
      <c r="E13" s="4"/>
      <c r="F13" s="4"/>
    </row>
  </sheetData>
  <scenarios current="1" sqref="F11">
    <scenario name="환율인상" locked="1" count="1" user="조준현">
      <inputCells r="C13" val="1200" numFmtId="41"/>
    </scenario>
    <scenario name="환율인하" locked="1" count="1" user="조준현">
      <inputCells r="C13" val="1000" numFmtId="41"/>
    </scenario>
  </scenarios>
  <mergeCells count="7">
    <mergeCell ref="A1:F1"/>
    <mergeCell ref="F3:F4"/>
    <mergeCell ref="A11:B11"/>
    <mergeCell ref="A3:A4"/>
    <mergeCell ref="B3:B4"/>
    <mergeCell ref="C3:D3"/>
    <mergeCell ref="E3:E4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18"/>
  <sheetViews>
    <sheetView workbookViewId="0">
      <selection sqref="A1:F1"/>
    </sheetView>
  </sheetViews>
  <sheetFormatPr defaultRowHeight="16.5" outlineLevelRow="3"/>
  <cols>
    <col min="1" max="1" width="18.75" customWidth="1"/>
    <col min="2" max="2" width="11.875" bestFit="1" customWidth="1"/>
    <col min="3" max="6" width="9.5" customWidth="1"/>
  </cols>
  <sheetData>
    <row r="1" spans="1:6" ht="26.25">
      <c r="A1" s="69" t="s">
        <v>100</v>
      </c>
      <c r="B1" s="69"/>
      <c r="C1" s="69"/>
      <c r="D1" s="69"/>
      <c r="E1" s="69"/>
      <c r="F1" s="69"/>
    </row>
    <row r="2" spans="1:6">
      <c r="A2" s="3"/>
      <c r="B2" s="3"/>
      <c r="C2" s="3"/>
      <c r="D2" s="3"/>
      <c r="E2" s="3"/>
      <c r="F2" s="3"/>
    </row>
    <row r="3" spans="1:6">
      <c r="A3" s="5" t="s">
        <v>101</v>
      </c>
      <c r="B3" s="5" t="s">
        <v>102</v>
      </c>
      <c r="C3" s="5" t="s">
        <v>103</v>
      </c>
      <c r="D3" s="5" t="s">
        <v>104</v>
      </c>
      <c r="E3" s="5" t="s">
        <v>105</v>
      </c>
      <c r="F3" s="5" t="s">
        <v>106</v>
      </c>
    </row>
    <row r="4" spans="1:6" outlineLevel="3">
      <c r="A4" s="5" t="s">
        <v>107</v>
      </c>
      <c r="B4" s="5" t="s">
        <v>108</v>
      </c>
      <c r="C4" s="5" t="s">
        <v>109</v>
      </c>
      <c r="D4" s="22">
        <v>0.375</v>
      </c>
      <c r="E4" s="8">
        <v>10</v>
      </c>
      <c r="F4" s="17">
        <v>75000</v>
      </c>
    </row>
    <row r="5" spans="1:6" outlineLevel="3">
      <c r="A5" s="5" t="s">
        <v>118</v>
      </c>
      <c r="B5" s="5" t="s">
        <v>108</v>
      </c>
      <c r="C5" s="5" t="s">
        <v>115</v>
      </c>
      <c r="D5" s="22">
        <v>0.5</v>
      </c>
      <c r="E5" s="8">
        <v>12</v>
      </c>
      <c r="F5" s="17">
        <v>75000</v>
      </c>
    </row>
    <row r="6" spans="1:6" outlineLevel="2">
      <c r="A6" s="5"/>
      <c r="B6" s="48" t="s">
        <v>224</v>
      </c>
      <c r="C6" s="5"/>
      <c r="D6" s="22"/>
      <c r="E6" s="8">
        <f>SUBTOTAL(4,E4:E5)</f>
        <v>12</v>
      </c>
      <c r="F6" s="17">
        <f>SUBTOTAL(4,F4:F5)</f>
        <v>75000</v>
      </c>
    </row>
    <row r="7" spans="1:6" outlineLevel="1">
      <c r="A7" s="5"/>
      <c r="B7" s="48" t="s">
        <v>218</v>
      </c>
      <c r="C7" s="5"/>
      <c r="D7" s="22"/>
      <c r="E7" s="8">
        <f>SUBTOTAL(1,E4:E5)</f>
        <v>11</v>
      </c>
      <c r="F7" s="17">
        <f>SUBTOTAL(1,F4:F5)</f>
        <v>75000</v>
      </c>
    </row>
    <row r="8" spans="1:6" outlineLevel="3">
      <c r="A8" s="5" t="s">
        <v>114</v>
      </c>
      <c r="B8" s="5" t="s">
        <v>110</v>
      </c>
      <c r="C8" s="5" t="s">
        <v>115</v>
      </c>
      <c r="D8" s="22">
        <v>0.6875</v>
      </c>
      <c r="E8" s="8">
        <v>25</v>
      </c>
      <c r="F8" s="17">
        <v>65000</v>
      </c>
    </row>
    <row r="9" spans="1:6" outlineLevel="3">
      <c r="A9" s="5" t="s">
        <v>119</v>
      </c>
      <c r="B9" s="5" t="s">
        <v>110</v>
      </c>
      <c r="C9" s="5" t="s">
        <v>117</v>
      </c>
      <c r="D9" s="22">
        <v>0.375</v>
      </c>
      <c r="E9" s="8">
        <v>10</v>
      </c>
      <c r="F9" s="17">
        <v>80000</v>
      </c>
    </row>
    <row r="10" spans="1:6" outlineLevel="2">
      <c r="A10" s="5"/>
      <c r="B10" s="48" t="s">
        <v>225</v>
      </c>
      <c r="C10" s="5"/>
      <c r="D10" s="22"/>
      <c r="E10" s="8">
        <f>SUBTOTAL(4,E8:E9)</f>
        <v>25</v>
      </c>
      <c r="F10" s="17">
        <f>SUBTOTAL(4,F8:F9)</f>
        <v>80000</v>
      </c>
    </row>
    <row r="11" spans="1:6" outlineLevel="1">
      <c r="A11" s="5"/>
      <c r="B11" s="48" t="s">
        <v>219</v>
      </c>
      <c r="C11" s="5"/>
      <c r="D11" s="22"/>
      <c r="E11" s="8">
        <f>SUBTOTAL(1,E8:E9)</f>
        <v>17.5</v>
      </c>
      <c r="F11" s="17">
        <f>SUBTOTAL(1,F8:F9)</f>
        <v>72500</v>
      </c>
    </row>
    <row r="12" spans="1:6" outlineLevel="3">
      <c r="A12" s="5" t="s">
        <v>112</v>
      </c>
      <c r="B12" s="5" t="s">
        <v>113</v>
      </c>
      <c r="C12" s="5" t="s">
        <v>111</v>
      </c>
      <c r="D12" s="22">
        <v>0.625</v>
      </c>
      <c r="E12" s="8">
        <v>15</v>
      </c>
      <c r="F12" s="17">
        <v>60000</v>
      </c>
    </row>
    <row r="13" spans="1:6" outlineLevel="3">
      <c r="A13" s="5" t="s">
        <v>116</v>
      </c>
      <c r="B13" s="5" t="s">
        <v>113</v>
      </c>
      <c r="C13" s="5" t="s">
        <v>109</v>
      </c>
      <c r="D13" s="22">
        <v>0.79166666666666663</v>
      </c>
      <c r="E13" s="8">
        <v>20</v>
      </c>
      <c r="F13" s="17">
        <v>70000</v>
      </c>
    </row>
    <row r="14" spans="1:6" outlineLevel="2">
      <c r="A14" s="11"/>
      <c r="B14" s="54" t="s">
        <v>226</v>
      </c>
      <c r="C14" s="11"/>
      <c r="D14" s="49"/>
      <c r="E14" s="12">
        <f>SUBTOTAL(4,E12:E13)</f>
        <v>20</v>
      </c>
      <c r="F14" s="20">
        <f>SUBTOTAL(4,F12:F13)</f>
        <v>70000</v>
      </c>
    </row>
    <row r="15" spans="1:6" outlineLevel="1">
      <c r="A15" s="11"/>
      <c r="B15" s="54" t="s">
        <v>220</v>
      </c>
      <c r="C15" s="11"/>
      <c r="D15" s="49"/>
      <c r="E15" s="12">
        <f>SUBTOTAL(1,E12:E13)</f>
        <v>17.5</v>
      </c>
      <c r="F15" s="20">
        <f>SUBTOTAL(1,F12:F13)</f>
        <v>65000</v>
      </c>
    </row>
    <row r="16" spans="1:6">
      <c r="A16" s="11"/>
      <c r="B16" s="54" t="s">
        <v>222</v>
      </c>
      <c r="C16" s="11"/>
      <c r="D16" s="49"/>
      <c r="E16" s="12">
        <f>SUBTOTAL(4,E4:E13)</f>
        <v>25</v>
      </c>
      <c r="F16" s="20">
        <f>SUBTOTAL(4,F4:F13)</f>
        <v>80000</v>
      </c>
    </row>
    <row r="17" spans="1:6">
      <c r="A17" s="11"/>
      <c r="B17" s="54" t="s">
        <v>221</v>
      </c>
      <c r="C17" s="11"/>
      <c r="D17" s="49"/>
      <c r="E17" s="12">
        <f>SUBTOTAL(1,E4:E13)</f>
        <v>15.333333333333334</v>
      </c>
      <c r="F17" s="20">
        <f>SUBTOTAL(1,F4:F13)</f>
        <v>70833.333333333328</v>
      </c>
    </row>
    <row r="18" spans="1:6">
      <c r="A18" s="3"/>
      <c r="B18" s="3"/>
      <c r="C18" s="3"/>
      <c r="D18" s="3"/>
      <c r="E18" s="3"/>
      <c r="F18" s="3"/>
    </row>
  </sheetData>
  <sortState xmlns:xlrd2="http://schemas.microsoft.com/office/spreadsheetml/2017/richdata2" ref="A4:F13">
    <sortCondition descending="1" ref="B3"/>
  </sortState>
  <mergeCells count="1">
    <mergeCell ref="A1:F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J14"/>
  <sheetViews>
    <sheetView workbookViewId="0">
      <selection sqref="A1:J1"/>
    </sheetView>
  </sheetViews>
  <sheetFormatPr defaultRowHeight="16.5"/>
  <cols>
    <col min="1" max="1" width="7.125" bestFit="1" customWidth="1"/>
    <col min="2" max="2" width="5.25" customWidth="1"/>
    <col min="3" max="5" width="7.125" bestFit="1" customWidth="1"/>
    <col min="8" max="8" width="7.125" bestFit="1" customWidth="1"/>
    <col min="9" max="9" width="5.25" customWidth="1"/>
    <col min="10" max="10" width="6.5" customWidth="1"/>
    <col min="11" max="11" width="5.625" customWidth="1"/>
  </cols>
  <sheetData>
    <row r="1" spans="1:10" ht="26.25">
      <c r="A1" s="58" t="s">
        <v>163</v>
      </c>
      <c r="B1" s="58"/>
      <c r="C1" s="58"/>
      <c r="D1" s="58"/>
      <c r="E1" s="58"/>
      <c r="F1" s="58"/>
      <c r="G1" s="58"/>
      <c r="H1" s="58"/>
      <c r="I1" s="58"/>
      <c r="J1" s="58"/>
    </row>
    <row r="2" spans="1:10">
      <c r="A2" s="3"/>
      <c r="B2" s="3"/>
      <c r="C2" s="3"/>
      <c r="D2" s="3"/>
      <c r="E2" s="3"/>
      <c r="F2" s="3"/>
      <c r="G2" s="3"/>
      <c r="H2" s="3"/>
      <c r="I2" s="3"/>
      <c r="J2" s="3"/>
    </row>
    <row r="3" spans="1:10">
      <c r="A3" s="5" t="s">
        <v>120</v>
      </c>
      <c r="B3" s="5" t="s">
        <v>121</v>
      </c>
      <c r="C3" s="5" t="s">
        <v>122</v>
      </c>
      <c r="D3" s="5" t="s">
        <v>123</v>
      </c>
      <c r="E3" s="23" t="s">
        <v>124</v>
      </c>
      <c r="F3" s="5" t="s">
        <v>125</v>
      </c>
      <c r="G3" s="5" t="s">
        <v>126</v>
      </c>
      <c r="H3" s="5" t="s">
        <v>127</v>
      </c>
      <c r="I3" s="5" t="s">
        <v>128</v>
      </c>
      <c r="J3" s="5" t="s">
        <v>129</v>
      </c>
    </row>
    <row r="4" spans="1:10">
      <c r="A4" s="5" t="s">
        <v>130</v>
      </c>
      <c r="B4" s="24">
        <v>40</v>
      </c>
      <c r="C4" s="25">
        <v>12</v>
      </c>
      <c r="D4" s="25">
        <v>11</v>
      </c>
      <c r="E4" s="25">
        <v>3</v>
      </c>
      <c r="F4" s="26">
        <v>3</v>
      </c>
      <c r="G4" s="26">
        <v>3</v>
      </c>
      <c r="H4" s="26">
        <v>1</v>
      </c>
      <c r="I4" s="26">
        <v>33</v>
      </c>
      <c r="J4" s="50">
        <f>(I4/B4)*100</f>
        <v>82.5</v>
      </c>
    </row>
    <row r="5" spans="1:10">
      <c r="A5" s="5" t="s">
        <v>131</v>
      </c>
      <c r="B5" s="24">
        <v>80</v>
      </c>
      <c r="C5" s="25">
        <v>11</v>
      </c>
      <c r="D5" s="25">
        <v>13</v>
      </c>
      <c r="E5" s="25">
        <v>6</v>
      </c>
      <c r="F5" s="26">
        <v>3</v>
      </c>
      <c r="G5" s="26">
        <v>6</v>
      </c>
      <c r="H5" s="26">
        <v>4</v>
      </c>
      <c r="I5" s="26">
        <v>43</v>
      </c>
      <c r="J5" s="50">
        <f t="shared" ref="J5:J14" si="0">(I5/B5)*100</f>
        <v>53.75</v>
      </c>
    </row>
    <row r="6" spans="1:10">
      <c r="A6" s="5" t="s">
        <v>132</v>
      </c>
      <c r="B6" s="24">
        <v>120</v>
      </c>
      <c r="C6" s="25">
        <v>19</v>
      </c>
      <c r="D6" s="25">
        <v>20</v>
      </c>
      <c r="E6" s="25">
        <v>18</v>
      </c>
      <c r="F6" s="26">
        <v>8</v>
      </c>
      <c r="G6" s="26">
        <v>6</v>
      </c>
      <c r="H6" s="26">
        <v>0</v>
      </c>
      <c r="I6" s="26">
        <v>71</v>
      </c>
      <c r="J6" s="50">
        <f t="shared" si="0"/>
        <v>59.166666666666664</v>
      </c>
    </row>
    <row r="7" spans="1:10">
      <c r="A7" s="5" t="s">
        <v>133</v>
      </c>
      <c r="B7" s="24">
        <v>70</v>
      </c>
      <c r="C7" s="25">
        <v>6</v>
      </c>
      <c r="D7" s="25">
        <v>9</v>
      </c>
      <c r="E7" s="25">
        <v>8</v>
      </c>
      <c r="F7" s="26">
        <v>2</v>
      </c>
      <c r="G7" s="26">
        <v>3</v>
      </c>
      <c r="H7" s="26">
        <v>6</v>
      </c>
      <c r="I7" s="26">
        <v>34</v>
      </c>
      <c r="J7" s="50">
        <f t="shared" si="0"/>
        <v>48.571428571428569</v>
      </c>
    </row>
    <row r="8" spans="1:10">
      <c r="A8" s="23" t="s">
        <v>134</v>
      </c>
      <c r="B8" s="24">
        <v>60</v>
      </c>
      <c r="C8" s="25">
        <v>10</v>
      </c>
      <c r="D8" s="25">
        <v>10</v>
      </c>
      <c r="E8" s="25">
        <v>9</v>
      </c>
      <c r="F8" s="26">
        <v>3</v>
      </c>
      <c r="G8" s="26">
        <v>6</v>
      </c>
      <c r="H8" s="26">
        <v>1</v>
      </c>
      <c r="I8" s="26">
        <v>39</v>
      </c>
      <c r="J8" s="50">
        <f t="shared" si="0"/>
        <v>65</v>
      </c>
    </row>
    <row r="9" spans="1:10">
      <c r="A9" s="5" t="s">
        <v>135</v>
      </c>
      <c r="B9" s="24">
        <v>120</v>
      </c>
      <c r="C9" s="25">
        <v>12</v>
      </c>
      <c r="D9" s="25">
        <v>10</v>
      </c>
      <c r="E9" s="25">
        <v>16</v>
      </c>
      <c r="F9" s="26">
        <v>9</v>
      </c>
      <c r="G9" s="26">
        <v>7</v>
      </c>
      <c r="H9" s="26">
        <v>7</v>
      </c>
      <c r="I9" s="26">
        <v>61</v>
      </c>
      <c r="J9" s="50">
        <f t="shared" si="0"/>
        <v>50.833333333333329</v>
      </c>
    </row>
    <row r="10" spans="1:10">
      <c r="A10" s="5" t="s">
        <v>136</v>
      </c>
      <c r="B10" s="24">
        <v>80</v>
      </c>
      <c r="C10" s="25">
        <v>9</v>
      </c>
      <c r="D10" s="25">
        <v>14</v>
      </c>
      <c r="E10" s="25">
        <v>11</v>
      </c>
      <c r="F10" s="26">
        <v>3</v>
      </c>
      <c r="G10" s="26">
        <v>4</v>
      </c>
      <c r="H10" s="26">
        <v>3</v>
      </c>
      <c r="I10" s="26">
        <v>44</v>
      </c>
      <c r="J10" s="50">
        <f t="shared" si="0"/>
        <v>55.000000000000007</v>
      </c>
    </row>
    <row r="11" spans="1:10">
      <c r="A11" s="5" t="s">
        <v>137</v>
      </c>
      <c r="B11" s="24">
        <v>40</v>
      </c>
      <c r="C11" s="25">
        <v>5</v>
      </c>
      <c r="D11" s="25">
        <v>7</v>
      </c>
      <c r="E11" s="25">
        <v>1</v>
      </c>
      <c r="F11" s="26">
        <v>3</v>
      </c>
      <c r="G11" s="26">
        <v>2</v>
      </c>
      <c r="H11" s="26">
        <v>3</v>
      </c>
      <c r="I11" s="26">
        <v>21</v>
      </c>
      <c r="J11" s="50">
        <f t="shared" si="0"/>
        <v>52.5</v>
      </c>
    </row>
    <row r="12" spans="1:10">
      <c r="A12" s="5" t="s">
        <v>138</v>
      </c>
      <c r="B12" s="26">
        <v>100</v>
      </c>
      <c r="C12" s="25">
        <v>22</v>
      </c>
      <c r="D12" s="25">
        <v>13</v>
      </c>
      <c r="E12" s="25">
        <v>8</v>
      </c>
      <c r="F12" s="26">
        <v>6</v>
      </c>
      <c r="G12" s="26">
        <v>2</v>
      </c>
      <c r="H12" s="26">
        <v>5</v>
      </c>
      <c r="I12" s="26">
        <v>56</v>
      </c>
      <c r="J12" s="50">
        <f t="shared" si="0"/>
        <v>56.000000000000007</v>
      </c>
    </row>
    <row r="13" spans="1:10">
      <c r="A13" s="5" t="s">
        <v>139</v>
      </c>
      <c r="B13" s="26">
        <v>70</v>
      </c>
      <c r="C13" s="25">
        <v>9</v>
      </c>
      <c r="D13" s="25">
        <v>12</v>
      </c>
      <c r="E13" s="25">
        <v>9</v>
      </c>
      <c r="F13" s="26">
        <v>3</v>
      </c>
      <c r="G13" s="26">
        <v>3</v>
      </c>
      <c r="H13" s="26">
        <v>3</v>
      </c>
      <c r="I13" s="26">
        <v>39</v>
      </c>
      <c r="J13" s="50">
        <f t="shared" si="0"/>
        <v>55.714285714285715</v>
      </c>
    </row>
    <row r="14" spans="1:10">
      <c r="A14" s="5" t="s">
        <v>93</v>
      </c>
      <c r="B14" s="27">
        <f>SUM(B4:B13)</f>
        <v>780</v>
      </c>
      <c r="C14" s="27">
        <f t="shared" ref="C14:I14" si="1">SUM(C4:C13)</f>
        <v>115</v>
      </c>
      <c r="D14" s="27">
        <f t="shared" si="1"/>
        <v>119</v>
      </c>
      <c r="E14" s="27">
        <f t="shared" si="1"/>
        <v>89</v>
      </c>
      <c r="F14" s="27">
        <f t="shared" si="1"/>
        <v>43</v>
      </c>
      <c r="G14" s="27">
        <f t="shared" si="1"/>
        <v>42</v>
      </c>
      <c r="H14" s="27">
        <f t="shared" si="1"/>
        <v>33</v>
      </c>
      <c r="I14" s="27">
        <f t="shared" si="1"/>
        <v>441</v>
      </c>
      <c r="J14" s="50">
        <f t="shared" si="0"/>
        <v>56.53846153846154</v>
      </c>
    </row>
  </sheetData>
  <mergeCells count="1">
    <mergeCell ref="A1:J1"/>
  </mergeCells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E9"/>
  <sheetViews>
    <sheetView workbookViewId="0">
      <selection sqref="A1:E1"/>
    </sheetView>
  </sheetViews>
  <sheetFormatPr defaultRowHeight="16.5"/>
  <cols>
    <col min="1" max="5" width="14.625" customWidth="1"/>
  </cols>
  <sheetData>
    <row r="1" spans="1:5" ht="26.25">
      <c r="A1" s="70" t="s">
        <v>140</v>
      </c>
      <c r="B1" s="70"/>
      <c r="C1" s="70"/>
      <c r="D1" s="70"/>
      <c r="E1" s="70"/>
    </row>
    <row r="2" spans="1:5">
      <c r="A2" s="1"/>
      <c r="B2" s="1"/>
      <c r="C2" s="1"/>
      <c r="D2" s="1"/>
      <c r="E2" s="28" t="s">
        <v>141</v>
      </c>
    </row>
    <row r="3" spans="1:5">
      <c r="A3" s="2" t="s">
        <v>142</v>
      </c>
      <c r="B3" s="2" t="s">
        <v>227</v>
      </c>
      <c r="C3" s="2" t="s">
        <v>228</v>
      </c>
      <c r="D3" s="2" t="s">
        <v>229</v>
      </c>
      <c r="E3" s="2" t="s">
        <v>230</v>
      </c>
    </row>
    <row r="4" spans="1:5">
      <c r="A4" s="2" t="s">
        <v>143</v>
      </c>
      <c r="B4" s="29" t="s">
        <v>144</v>
      </c>
      <c r="C4" s="30">
        <v>4</v>
      </c>
      <c r="D4" s="31">
        <v>5.2</v>
      </c>
      <c r="E4" s="31">
        <v>5.5</v>
      </c>
    </row>
    <row r="5" spans="1:5">
      <c r="A5" s="2" t="s">
        <v>145</v>
      </c>
      <c r="B5" s="29">
        <v>3.3</v>
      </c>
      <c r="C5" s="30">
        <v>4.5</v>
      </c>
      <c r="D5" s="31">
        <v>4.8</v>
      </c>
      <c r="E5" s="31">
        <v>5.0999999999999996</v>
      </c>
    </row>
    <row r="6" spans="1:5">
      <c r="A6" s="2" t="s">
        <v>148</v>
      </c>
      <c r="B6" s="29">
        <v>4.5</v>
      </c>
      <c r="C6" s="30">
        <v>4.5</v>
      </c>
      <c r="D6" s="31">
        <v>4.8</v>
      </c>
      <c r="E6" s="31">
        <v>4.9000000000000004</v>
      </c>
    </row>
    <row r="7" spans="1:5">
      <c r="A7" s="2" t="s">
        <v>146</v>
      </c>
      <c r="B7" s="29">
        <v>4.3</v>
      </c>
      <c r="C7" s="30">
        <v>4.3</v>
      </c>
      <c r="D7" s="51">
        <v>5</v>
      </c>
      <c r="E7" s="31">
        <v>2.2000000000000002</v>
      </c>
    </row>
    <row r="8" spans="1:5">
      <c r="A8" s="2" t="s">
        <v>149</v>
      </c>
      <c r="B8" s="29">
        <v>3.9</v>
      </c>
      <c r="C8" s="30">
        <v>3.7</v>
      </c>
      <c r="D8" s="31">
        <v>4.2</v>
      </c>
      <c r="E8" s="31">
        <v>4.5</v>
      </c>
    </row>
    <row r="9" spans="1:5">
      <c r="A9" s="2" t="s">
        <v>147</v>
      </c>
      <c r="B9" s="29">
        <v>5.0999999999999996</v>
      </c>
      <c r="C9" s="30">
        <v>5</v>
      </c>
      <c r="D9" s="31" t="s">
        <v>150</v>
      </c>
      <c r="E9" s="31" t="s">
        <v>223</v>
      </c>
    </row>
  </sheetData>
  <mergeCells count="1">
    <mergeCell ref="A1:E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이익금합계</vt:lpstr>
      <vt:lpstr>환율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조준현</cp:lastModifiedBy>
  <dcterms:created xsi:type="dcterms:W3CDTF">2011-08-10T07:46:52Z</dcterms:created>
  <dcterms:modified xsi:type="dcterms:W3CDTF">2023-10-09T16:32:19Z</dcterms:modified>
</cp:coreProperties>
</file>