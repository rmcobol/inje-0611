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5회 실전모의고사\"/>
    </mc:Choice>
  </mc:AlternateContent>
  <xr:revisionPtr revIDLastSave="0" documentId="13_ncr:1_{4907186A-19FC-4C8A-8ACB-B6924F4DC006}" xr6:coauthVersionLast="47" xr6:coauthVersionMax="47" xr10:uidLastSave="{00000000-0000-0000-0000-000000000000}"/>
  <bookViews>
    <workbookView xWindow="8730" yWindow="1005" windowWidth="15390" windowHeight="12690" xr2:uid="{00000000-000D-0000-FFFF-FFFF00000000}"/>
  </bookViews>
  <sheets>
    <sheet name="기본작업-1" sheetId="2" r:id="rId1"/>
    <sheet name="기본작업-2" sheetId="3" r:id="rId2"/>
    <sheet name="기본작업-3" sheetId="4" r:id="rId3"/>
    <sheet name="계산작업" sheetId="5" r:id="rId4"/>
    <sheet name="분석작업-1" sheetId="7" r:id="rId5"/>
    <sheet name="분석작업-2" sheetId="9" r:id="rId6"/>
    <sheet name="매크로작업" sheetId="12" r:id="rId7"/>
    <sheet name="차트작업" sheetId="13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2" l="1"/>
  <c r="H6" i="12"/>
  <c r="H7" i="12"/>
  <c r="H8" i="12"/>
  <c r="H9" i="12"/>
  <c r="H10" i="12"/>
  <c r="H11" i="12"/>
  <c r="H4" i="12"/>
  <c r="E26" i="7"/>
  <c r="D26" i="7"/>
  <c r="C26" i="7"/>
  <c r="E20" i="7"/>
  <c r="D20" i="7"/>
  <c r="C20" i="7"/>
  <c r="E14" i="7"/>
  <c r="D14" i="7"/>
  <c r="C14" i="7"/>
  <c r="E8" i="7"/>
  <c r="E28" i="7" s="1"/>
  <c r="D8" i="7"/>
  <c r="D28" i="7" s="1"/>
  <c r="C8" i="7"/>
  <c r="C28" i="7" s="1"/>
  <c r="I10" i="5" a="1"/>
  <c r="I10" i="5" s="1"/>
  <c r="D14" i="5"/>
  <c r="D15" i="5"/>
  <c r="D16" i="5"/>
  <c r="D17" i="5"/>
  <c r="D18" i="5"/>
  <c r="D19" i="5"/>
  <c r="D20" i="5"/>
  <c r="D21" i="5"/>
  <c r="D22" i="5"/>
  <c r="D23" i="5"/>
  <c r="C9" i="9" l="1"/>
  <c r="C5" i="9"/>
  <c r="I37" i="5"/>
  <c r="J37" i="5"/>
  <c r="H37" i="5"/>
  <c r="E28" i="5"/>
  <c r="E29" i="5"/>
  <c r="E30" i="5"/>
  <c r="E31" i="5"/>
  <c r="E32" i="5"/>
  <c r="E33" i="5"/>
  <c r="E34" i="5"/>
  <c r="E35" i="5"/>
  <c r="E36" i="5"/>
  <c r="E37" i="5"/>
  <c r="E27" i="5"/>
  <c r="I23" i="5"/>
  <c r="E15" i="5"/>
  <c r="E16" i="5"/>
  <c r="E17" i="5"/>
  <c r="E18" i="5"/>
  <c r="E19" i="5"/>
  <c r="E20" i="5"/>
  <c r="E21" i="5"/>
  <c r="E22" i="5"/>
  <c r="E23" i="5"/>
  <c r="E14" i="5"/>
  <c r="G11" i="12" l="1"/>
  <c r="G10" i="12"/>
  <c r="G9" i="12"/>
  <c r="G8" i="12"/>
  <c r="G7" i="12"/>
  <c r="G6" i="12"/>
  <c r="G5" i="12"/>
  <c r="G4" i="12"/>
  <c r="F19" i="7" l="1"/>
  <c r="F7" i="7"/>
  <c r="F13" i="7"/>
  <c r="F12" i="7"/>
  <c r="F25" i="7"/>
  <c r="F24" i="7"/>
  <c r="F18" i="7"/>
  <c r="F6" i="7"/>
  <c r="F23" i="7"/>
  <c r="F17" i="7"/>
  <c r="F5" i="7"/>
  <c r="F4" i="7"/>
  <c r="F11" i="7"/>
  <c r="F10" i="7"/>
  <c r="F16" i="7"/>
  <c r="F21" i="7" s="1"/>
  <c r="F22" i="7"/>
  <c r="F27" i="7" s="1"/>
  <c r="F9" i="7" l="1"/>
  <c r="F15" i="7"/>
  <c r="F17" i="3"/>
  <c r="F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H17" i="3" s="1"/>
  <c r="G4" i="3"/>
  <c r="F29" i="7" l="1"/>
  <c r="G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H17" authorId="0" shapeId="0" xr:uid="{00000000-0006-0000-0100-000001000000}">
      <text>
        <r>
          <rPr>
            <b/>
            <sz val="11"/>
            <color indexed="81"/>
            <rFont val="맑은 고딕"/>
            <family val="3"/>
            <charset val="129"/>
          </rPr>
          <t>총판매액 합계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<sst xmlns="http://schemas.openxmlformats.org/spreadsheetml/2006/main" count="373" uniqueCount="245">
  <si>
    <t>여행 상품 안내</t>
    <phoneticPr fontId="1" type="noConversion"/>
  </si>
  <si>
    <t>지역</t>
    <phoneticPr fontId="1" type="noConversion"/>
  </si>
  <si>
    <t>제품명</t>
    <phoneticPr fontId="1" type="noConversion"/>
  </si>
  <si>
    <t>판매지역</t>
    <phoneticPr fontId="1" type="noConversion"/>
  </si>
  <si>
    <t>판매가</t>
    <phoneticPr fontId="1" type="noConversion"/>
  </si>
  <si>
    <t>입고량</t>
    <phoneticPr fontId="1" type="noConversion"/>
  </si>
  <si>
    <t>목표량</t>
    <phoneticPr fontId="1" type="noConversion"/>
  </si>
  <si>
    <t>판매량</t>
    <phoneticPr fontId="1" type="noConversion"/>
  </si>
  <si>
    <t>재고량</t>
    <phoneticPr fontId="1" type="noConversion"/>
  </si>
  <si>
    <t>총판매액</t>
    <phoneticPr fontId="1" type="noConversion"/>
  </si>
  <si>
    <t>스마트TV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</si>
  <si>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</si>
  <si>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</si>
  <si>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</si>
  <si>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냉장고</t>
    <phoneticPr fontId="1" type="noConversion"/>
  </si>
  <si>
    <t>세탁기</t>
    <phoneticPr fontId="1" type="noConversion"/>
  </si>
  <si>
    <t>에어컨</t>
    <phoneticPr fontId="1" type="noConversion"/>
  </si>
  <si>
    <t>평균</t>
    <phoneticPr fontId="1" type="noConversion"/>
  </si>
  <si>
    <t>합계</t>
    <phoneticPr fontId="1" type="noConversion"/>
  </si>
  <si>
    <t>9월 카드 사용 내역</t>
    <phoneticPr fontId="1" type="noConversion"/>
  </si>
  <si>
    <t>사용일</t>
    <phoneticPr fontId="1" type="noConversion"/>
  </si>
  <si>
    <t>사용내역</t>
    <phoneticPr fontId="1" type="noConversion"/>
  </si>
  <si>
    <t>사용금액</t>
    <phoneticPr fontId="1" type="noConversion"/>
  </si>
  <si>
    <t>사용구분</t>
    <phoneticPr fontId="1" type="noConversion"/>
  </si>
  <si>
    <t>할부기간</t>
    <phoneticPr fontId="1" type="noConversion"/>
  </si>
  <si>
    <t>이달결제금액</t>
    <phoneticPr fontId="1" type="noConversion"/>
  </si>
  <si>
    <t>1일</t>
    <phoneticPr fontId="1" type="noConversion"/>
  </si>
  <si>
    <t>한국주유소</t>
    <phoneticPr fontId="1" type="noConversion"/>
  </si>
  <si>
    <t>일시불</t>
    <phoneticPr fontId="1" type="noConversion"/>
  </si>
  <si>
    <t>2일</t>
  </si>
  <si>
    <t>우리마트</t>
    <phoneticPr fontId="1" type="noConversion"/>
  </si>
  <si>
    <t>3일</t>
  </si>
  <si>
    <t>예닮갈비</t>
    <phoneticPr fontId="1" type="noConversion"/>
  </si>
  <si>
    <t>4일</t>
  </si>
  <si>
    <t>서울공판장</t>
    <phoneticPr fontId="1" type="noConversion"/>
  </si>
  <si>
    <t>5일</t>
  </si>
  <si>
    <t>진성유통</t>
    <phoneticPr fontId="1" type="noConversion"/>
  </si>
  <si>
    <t>할부</t>
    <phoneticPr fontId="1" type="noConversion"/>
  </si>
  <si>
    <t>8일</t>
    <phoneticPr fontId="1" type="noConversion"/>
  </si>
  <si>
    <t>빵집</t>
    <phoneticPr fontId="1" type="noConversion"/>
  </si>
  <si>
    <t>9일</t>
    <phoneticPr fontId="1" type="noConversion"/>
  </si>
  <si>
    <t>13번가</t>
    <phoneticPr fontId="1" type="noConversion"/>
  </si>
  <si>
    <t>11일</t>
    <phoneticPr fontId="1" type="noConversion"/>
  </si>
  <si>
    <t>중앙내과</t>
    <phoneticPr fontId="1" type="noConversion"/>
  </si>
  <si>
    <t>12일</t>
    <phoneticPr fontId="1" type="noConversion"/>
  </si>
  <si>
    <t>맛나식당</t>
    <phoneticPr fontId="1" type="noConversion"/>
  </si>
  <si>
    <t>13일</t>
    <phoneticPr fontId="1" type="noConversion"/>
  </si>
  <si>
    <t>바다편의점</t>
    <phoneticPr fontId="1" type="noConversion"/>
  </si>
  <si>
    <t>15일</t>
    <phoneticPr fontId="1" type="noConversion"/>
  </si>
  <si>
    <t>마동기업</t>
    <phoneticPr fontId="1" type="noConversion"/>
  </si>
  <si>
    <t>18일</t>
    <phoneticPr fontId="1" type="noConversion"/>
  </si>
  <si>
    <t>19일</t>
    <phoneticPr fontId="1" type="noConversion"/>
  </si>
  <si>
    <t>20일</t>
    <phoneticPr fontId="1" type="noConversion"/>
  </si>
  <si>
    <t>22일</t>
    <phoneticPr fontId="1" type="noConversion"/>
  </si>
  <si>
    <t>23일</t>
    <phoneticPr fontId="1" type="noConversion"/>
  </si>
  <si>
    <t>24일</t>
    <phoneticPr fontId="1" type="noConversion"/>
  </si>
  <si>
    <t>26일</t>
    <phoneticPr fontId="1" type="noConversion"/>
  </si>
  <si>
    <t>27일</t>
    <phoneticPr fontId="1" type="noConversion"/>
  </si>
  <si>
    <t>30일</t>
    <phoneticPr fontId="1" type="noConversion"/>
  </si>
  <si>
    <t>[표1]</t>
  </si>
  <si>
    <t>시외버스 요금표</t>
    <phoneticPr fontId="1" type="noConversion"/>
  </si>
  <si>
    <t>서울</t>
    <phoneticPr fontId="1" type="noConversion"/>
  </si>
  <si>
    <t>청주</t>
    <phoneticPr fontId="1" type="noConversion"/>
  </si>
  <si>
    <t>부산</t>
    <phoneticPr fontId="1" type="noConversion"/>
  </si>
  <si>
    <t>목포</t>
    <phoneticPr fontId="1" type="noConversion"/>
  </si>
  <si>
    <t>&lt;직역코드표&gt;</t>
    <phoneticPr fontId="1" type="noConversion"/>
  </si>
  <si>
    <t>지역</t>
    <phoneticPr fontId="1" type="noConversion"/>
  </si>
  <si>
    <t>출발지</t>
    <phoneticPr fontId="1" type="noConversion"/>
  </si>
  <si>
    <t>도착지</t>
    <phoneticPr fontId="1" type="noConversion"/>
  </si>
  <si>
    <t>부산-목포 요금</t>
    <phoneticPr fontId="1" type="noConversion"/>
  </si>
  <si>
    <t>코드</t>
  </si>
  <si>
    <t>[표2]</t>
    <phoneticPr fontId="1" type="noConversion"/>
  </si>
  <si>
    <t>신입사원 성적표</t>
    <phoneticPr fontId="1" type="noConversion"/>
  </si>
  <si>
    <t>[표3]</t>
    <phoneticPr fontId="1" type="noConversion"/>
  </si>
  <si>
    <t>육성회비 납부 현황</t>
    <phoneticPr fontId="1" type="noConversion"/>
  </si>
  <si>
    <t>지원번호</t>
    <phoneticPr fontId="1" type="noConversion"/>
  </si>
  <si>
    <t>필기</t>
    <phoneticPr fontId="1" type="noConversion"/>
  </si>
  <si>
    <t>면접</t>
    <phoneticPr fontId="1" type="noConversion"/>
  </si>
  <si>
    <t>총점</t>
    <phoneticPr fontId="1" type="noConversion"/>
  </si>
  <si>
    <t>평가</t>
    <phoneticPr fontId="1" type="noConversion"/>
  </si>
  <si>
    <t>학생명</t>
    <phoneticPr fontId="1" type="noConversion"/>
  </si>
  <si>
    <t>성별</t>
    <phoneticPr fontId="1" type="noConversion"/>
  </si>
  <si>
    <t>납부여부</t>
    <phoneticPr fontId="1" type="noConversion"/>
  </si>
  <si>
    <t>C-1035</t>
    <phoneticPr fontId="1" type="noConversion"/>
  </si>
  <si>
    <t>최유영</t>
    <phoneticPr fontId="1" type="noConversion"/>
  </si>
  <si>
    <t>여</t>
    <phoneticPr fontId="1" type="noConversion"/>
  </si>
  <si>
    <t>납부</t>
    <phoneticPr fontId="1" type="noConversion"/>
  </si>
  <si>
    <t>C-1078</t>
    <phoneticPr fontId="1" type="noConversion"/>
  </si>
  <si>
    <t>이상민</t>
    <phoneticPr fontId="1" type="noConversion"/>
  </si>
  <si>
    <t>남</t>
    <phoneticPr fontId="1" type="noConversion"/>
  </si>
  <si>
    <t>C-2064</t>
    <phoneticPr fontId="1" type="noConversion"/>
  </si>
  <si>
    <t>전지영</t>
    <phoneticPr fontId="1" type="noConversion"/>
  </si>
  <si>
    <t>C-2075</t>
    <phoneticPr fontId="1" type="noConversion"/>
  </si>
  <si>
    <t>현주엽</t>
    <phoneticPr fontId="1" type="noConversion"/>
  </si>
  <si>
    <t>C-3015</t>
    <phoneticPr fontId="1" type="noConversion"/>
  </si>
  <si>
    <t>유연해</t>
    <phoneticPr fontId="1" type="noConversion"/>
  </si>
  <si>
    <t>C-3054</t>
    <phoneticPr fontId="1" type="noConversion"/>
  </si>
  <si>
    <t>최미실</t>
    <phoneticPr fontId="1" type="noConversion"/>
  </si>
  <si>
    <t>C-3075</t>
    <phoneticPr fontId="1" type="noConversion"/>
  </si>
  <si>
    <t>박광명</t>
    <phoneticPr fontId="1" type="noConversion"/>
  </si>
  <si>
    <t>C-4065</t>
    <phoneticPr fontId="1" type="noConversion"/>
  </si>
  <si>
    <t>김유열</t>
    <phoneticPr fontId="1" type="noConversion"/>
  </si>
  <si>
    <t>C-4088</t>
    <phoneticPr fontId="1" type="noConversion"/>
  </si>
  <si>
    <t>김은소</t>
    <phoneticPr fontId="1" type="noConversion"/>
  </si>
  <si>
    <t>C-5001</t>
    <phoneticPr fontId="1" type="noConversion"/>
  </si>
  <si>
    <t>여학생 납부자수</t>
    <phoneticPr fontId="1" type="noConversion"/>
  </si>
  <si>
    <t>[표4]</t>
    <phoneticPr fontId="1" type="noConversion"/>
  </si>
  <si>
    <t>사원 관리 현황</t>
    <phoneticPr fontId="1" type="noConversion"/>
  </si>
  <si>
    <t>[표5]</t>
    <phoneticPr fontId="1" type="noConversion"/>
  </si>
  <si>
    <t>기말고사 성적표</t>
    <phoneticPr fontId="1" type="noConversion"/>
  </si>
  <si>
    <t>사원코드</t>
    <phoneticPr fontId="1" type="noConversion"/>
  </si>
  <si>
    <t>성명</t>
    <phoneticPr fontId="1" type="noConversion"/>
  </si>
  <si>
    <t>부서명</t>
    <phoneticPr fontId="1" type="noConversion"/>
  </si>
  <si>
    <t>직위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</si>
  <si>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</si>
  <si>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</si>
  <si>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</si>
  <si>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MK-001</t>
    <phoneticPr fontId="1" type="noConversion"/>
  </si>
  <si>
    <t>김대명</t>
    <phoneticPr fontId="1" type="noConversion"/>
  </si>
  <si>
    <t>영업부</t>
    <phoneticPr fontId="1" type="noConversion"/>
  </si>
  <si>
    <t>한나라</t>
    <phoneticPr fontId="1" type="noConversion"/>
  </si>
  <si>
    <t>MK-002</t>
    <phoneticPr fontId="1" type="noConversion"/>
  </si>
  <si>
    <t>강건웅</t>
    <phoneticPr fontId="1" type="noConversion"/>
  </si>
  <si>
    <t>정수민</t>
    <phoneticPr fontId="1" type="noConversion"/>
  </si>
  <si>
    <t>유미화</t>
    <phoneticPr fontId="1" type="noConversion"/>
  </si>
  <si>
    <t>김세하</t>
    <phoneticPr fontId="1" type="noConversion"/>
  </si>
  <si>
    <t>MK-003</t>
    <phoneticPr fontId="1" type="noConversion"/>
  </si>
  <si>
    <t>이승운</t>
    <phoneticPr fontId="1" type="noConversion"/>
  </si>
  <si>
    <t>이부성</t>
    <phoneticPr fontId="1" type="noConversion"/>
  </si>
  <si>
    <t>PL-001</t>
    <phoneticPr fontId="1" type="noConversion"/>
  </si>
  <si>
    <t>김산희</t>
    <phoneticPr fontId="1" type="noConversion"/>
  </si>
  <si>
    <t>기획부</t>
    <phoneticPr fontId="1" type="noConversion"/>
  </si>
  <si>
    <t>최성식</t>
    <phoneticPr fontId="1" type="noConversion"/>
  </si>
  <si>
    <t>PL-002</t>
  </si>
  <si>
    <t>여진녀</t>
    <phoneticPr fontId="1" type="noConversion"/>
  </si>
  <si>
    <t>유하은</t>
    <phoneticPr fontId="1" type="noConversion"/>
  </si>
  <si>
    <t>PL-003</t>
  </si>
  <si>
    <t>우섭아</t>
    <phoneticPr fontId="1" type="noConversion"/>
  </si>
  <si>
    <t>신성희</t>
    <phoneticPr fontId="1" type="noConversion"/>
  </si>
  <si>
    <t>PU-001</t>
    <phoneticPr fontId="1" type="noConversion"/>
  </si>
  <si>
    <t>박슬아</t>
    <phoneticPr fontId="1" type="noConversion"/>
  </si>
  <si>
    <t>홍보부</t>
    <phoneticPr fontId="1" type="noConversion"/>
  </si>
  <si>
    <t>김진만</t>
    <phoneticPr fontId="1" type="noConversion"/>
  </si>
  <si>
    <t>PU-002</t>
  </si>
  <si>
    <t>이윤지</t>
    <phoneticPr fontId="1" type="noConversion"/>
  </si>
  <si>
    <t>강한나</t>
    <phoneticPr fontId="1" type="noConversion"/>
  </si>
  <si>
    <t>PU-003</t>
  </si>
  <si>
    <t>김성민</t>
    <phoneticPr fontId="1" type="noConversion"/>
  </si>
  <si>
    <t>신나라</t>
    <phoneticPr fontId="1" type="noConversion"/>
  </si>
  <si>
    <t>신예소</t>
    <phoneticPr fontId="1" type="noConversion"/>
  </si>
  <si>
    <t>80점대 인원수</t>
    <phoneticPr fontId="1" type="noConversion"/>
  </si>
  <si>
    <t>국가별 메달 획득 현황</t>
    <phoneticPr fontId="1" type="noConversion"/>
  </si>
  <si>
    <t>국가명</t>
    <phoneticPr fontId="1" type="noConversion"/>
  </si>
  <si>
    <t>아시아</t>
    <phoneticPr fontId="1" type="noConversion"/>
  </si>
  <si>
    <t>대한민국</t>
    <phoneticPr fontId="1" type="noConversion"/>
  </si>
  <si>
    <t>중국</t>
    <phoneticPr fontId="1" type="noConversion"/>
  </si>
  <si>
    <t>일본</t>
    <phoneticPr fontId="1" type="noConversion"/>
  </si>
  <si>
    <t>대만</t>
    <phoneticPr fontId="1" type="noConversion"/>
  </si>
  <si>
    <t>아프리카</t>
    <phoneticPr fontId="1" type="noConversion"/>
  </si>
  <si>
    <t>알제리</t>
    <phoneticPr fontId="1" type="noConversion"/>
  </si>
  <si>
    <t>케냐</t>
    <phoneticPr fontId="1" type="noConversion"/>
  </si>
  <si>
    <t>남아공</t>
    <phoneticPr fontId="1" type="noConversion"/>
  </si>
  <si>
    <t>수단</t>
    <phoneticPr fontId="1" type="noConversion"/>
  </si>
  <si>
    <t>유럽</t>
    <phoneticPr fontId="1" type="noConversion"/>
  </si>
  <si>
    <t>영국</t>
    <phoneticPr fontId="1" type="noConversion"/>
  </si>
  <si>
    <t>이탈리아</t>
    <phoneticPr fontId="1" type="noConversion"/>
  </si>
  <si>
    <t>스페인</t>
    <phoneticPr fontId="1" type="noConversion"/>
  </si>
  <si>
    <t>그리스</t>
    <phoneticPr fontId="1" type="noConversion"/>
  </si>
  <si>
    <t>아메리카</t>
    <phoneticPr fontId="1" type="noConversion"/>
  </si>
  <si>
    <t>미국</t>
    <phoneticPr fontId="1" type="noConversion"/>
  </si>
  <si>
    <t>캐나다</t>
    <phoneticPr fontId="1" type="noConversion"/>
  </si>
  <si>
    <t>브라질</t>
    <phoneticPr fontId="1" type="noConversion"/>
  </si>
  <si>
    <t>아르헨티나</t>
    <phoneticPr fontId="1" type="noConversion"/>
  </si>
  <si>
    <t>메달합계</t>
    <phoneticPr fontId="1" type="noConversion"/>
  </si>
  <si>
    <t>아르바이트 급여</t>
    <phoneticPr fontId="1" type="noConversion"/>
  </si>
  <si>
    <t>시급</t>
    <phoneticPr fontId="1" type="noConversion"/>
  </si>
  <si>
    <t>근무시간</t>
    <phoneticPr fontId="1" type="noConversion"/>
  </si>
  <si>
    <t>급여합계</t>
    <phoneticPr fontId="1" type="noConversion"/>
  </si>
  <si>
    <t>판매팀 9월 급여 지급 현황</t>
    <phoneticPr fontId="1" type="noConversion"/>
  </si>
  <si>
    <t>근무년수</t>
    <phoneticPr fontId="1" type="noConversion"/>
  </si>
  <si>
    <t>기본급</t>
    <phoneticPr fontId="1" type="noConversion"/>
  </si>
  <si>
    <t>교통비</t>
    <phoneticPr fontId="1" type="noConversion"/>
  </si>
  <si>
    <t>식비</t>
    <phoneticPr fontId="1" type="noConversion"/>
  </si>
  <si>
    <t>상여금</t>
    <phoneticPr fontId="1" type="noConversion"/>
  </si>
  <si>
    <t>합계</t>
    <phoneticPr fontId="1" type="noConversion"/>
  </si>
  <si>
    <t>장부수</t>
    <phoneticPr fontId="1" type="noConversion"/>
  </si>
  <si>
    <t>부장</t>
    <phoneticPr fontId="1" type="noConversion"/>
  </si>
  <si>
    <t>정영웅</t>
    <phoneticPr fontId="1" type="noConversion"/>
  </si>
  <si>
    <t>과장</t>
    <phoneticPr fontId="1" type="noConversion"/>
  </si>
  <si>
    <t>김혜미</t>
    <phoneticPr fontId="1" type="noConversion"/>
  </si>
  <si>
    <t>최교연</t>
    <phoneticPr fontId="1" type="noConversion"/>
  </si>
  <si>
    <t>대리</t>
    <phoneticPr fontId="1" type="noConversion"/>
  </si>
  <si>
    <t>박신수</t>
    <phoneticPr fontId="1" type="noConversion"/>
  </si>
  <si>
    <t>배연희</t>
    <phoneticPr fontId="1" type="noConversion"/>
  </si>
  <si>
    <t>신경남</t>
    <phoneticPr fontId="1" type="noConversion"/>
  </si>
  <si>
    <t>사원</t>
    <phoneticPr fontId="1" type="noConversion"/>
  </si>
  <si>
    <t>김수진</t>
    <phoneticPr fontId="1" type="noConversion"/>
  </si>
  <si>
    <t>올림픽 최종 순위</t>
    <phoneticPr fontId="1" type="noConversion"/>
  </si>
  <si>
    <t>금메달</t>
    <phoneticPr fontId="1" type="noConversion"/>
  </si>
  <si>
    <t>은메달</t>
    <phoneticPr fontId="1" type="noConversion"/>
  </si>
  <si>
    <t>동메달</t>
    <phoneticPr fontId="1" type="noConversion"/>
  </si>
  <si>
    <t>국가명</t>
    <phoneticPr fontId="1" type="noConversion"/>
  </si>
  <si>
    <t>금메달</t>
    <phoneticPr fontId="1" type="noConversion"/>
  </si>
  <si>
    <t>은메달</t>
    <phoneticPr fontId="1" type="noConversion"/>
  </si>
  <si>
    <t>동메달</t>
    <phoneticPr fontId="1" type="noConversion"/>
  </si>
  <si>
    <t>대한민국</t>
    <phoneticPr fontId="1" type="noConversion"/>
  </si>
  <si>
    <t>호주</t>
    <phoneticPr fontId="1" type="noConversion"/>
  </si>
  <si>
    <t>일본</t>
    <phoneticPr fontId="1" type="noConversion"/>
  </si>
  <si>
    <t>미국</t>
    <phoneticPr fontId="1" type="noConversion"/>
  </si>
  <si>
    <t>영국</t>
    <phoneticPr fontId="1" type="noConversion"/>
  </si>
  <si>
    <t>구분</t>
    <phoneticPr fontId="1" type="noConversion"/>
  </si>
  <si>
    <t>출발일</t>
    <phoneticPr fontId="1" type="noConversion"/>
  </si>
  <si>
    <t>기간</t>
    <phoneticPr fontId="1" type="noConversion"/>
  </si>
  <si>
    <t>가격</t>
    <phoneticPr fontId="1" type="noConversion"/>
  </si>
  <si>
    <t>모집정원</t>
    <phoneticPr fontId="1" type="noConversion"/>
  </si>
  <si>
    <t>비고</t>
    <phoneticPr fontId="1" type="noConversion"/>
  </si>
  <si>
    <t>거제도</t>
    <phoneticPr fontId="1" type="noConversion"/>
  </si>
  <si>
    <t>국내</t>
    <phoneticPr fontId="1" type="noConversion"/>
  </si>
  <si>
    <t>2박 3일</t>
    <phoneticPr fontId="1" type="noConversion"/>
  </si>
  <si>
    <t>자유여행</t>
    <phoneticPr fontId="1" type="noConversion"/>
  </si>
  <si>
    <t>제주도</t>
    <phoneticPr fontId="1" type="noConversion"/>
  </si>
  <si>
    <t>3박 4일</t>
    <phoneticPr fontId="1" type="noConversion"/>
  </si>
  <si>
    <t>울릉도</t>
    <phoneticPr fontId="1" type="noConversion"/>
  </si>
  <si>
    <t>하와이</t>
    <phoneticPr fontId="1" type="noConversion"/>
  </si>
  <si>
    <t>해외</t>
    <phoneticPr fontId="1" type="noConversion"/>
  </si>
  <si>
    <t>5박 6일</t>
    <phoneticPr fontId="1" type="noConversion"/>
  </si>
  <si>
    <t>가이드</t>
    <phoneticPr fontId="1" type="noConversion"/>
  </si>
  <si>
    <t>푸켓</t>
    <phoneticPr fontId="1" type="noConversion"/>
  </si>
  <si>
    <t>4박 5일</t>
    <phoneticPr fontId="1" type="noConversion"/>
  </si>
  <si>
    <t>사이판</t>
    <phoneticPr fontId="1" type="noConversion"/>
  </si>
  <si>
    <t>발리</t>
    <phoneticPr fontId="1" type="noConversion"/>
  </si>
  <si>
    <t>동해</t>
    <phoneticPr fontId="1" type="noConversion"/>
  </si>
  <si>
    <t>1박 2일</t>
    <phoneticPr fontId="1" type="noConversion"/>
  </si>
  <si>
    <t>여수</t>
    <phoneticPr fontId="1" type="noConversion"/>
  </si>
  <si>
    <t>首都圈 가전제품 판매 현황</t>
    <phoneticPr fontId="1" type="noConversion"/>
  </si>
  <si>
    <t>아메리카 요약</t>
  </si>
  <si>
    <t>아시아 요약</t>
  </si>
  <si>
    <t>아프리카 요약</t>
  </si>
  <si>
    <t>유럽 요약</t>
  </si>
  <si>
    <t>총합계</t>
  </si>
  <si>
    <t>전체 최대값</t>
  </si>
  <si>
    <t>아메리카 최대</t>
  </si>
  <si>
    <t>아시아 최대</t>
  </si>
  <si>
    <t>아프리카 최대</t>
  </si>
  <si>
    <t>유럽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</si>
</sst>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굴림체"/>
      <family val="3"/>
      <charset val="129"/>
    </font>
    <font>
      <b/>
      <sz val="11"/>
      <color indexed="8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3" borderId="1" xfId="2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3">
    <cellStyle name="강조색6" xfId="2" builtinId="49"/>
    <cellStyle name="쉼표 [0]" xfId="1" builtinId="6"/>
    <cellStyle name="표준" xfId="0" builtinId="0"/>
  </cellStyles>
  <dxfs count="1">
    <dxf>
      <font>
        <b/>
        <i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올림픽 최종 순위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금메달</c:v>
                </c:pt>
              </c:strCache>
            </c:strRef>
          </c:tx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CA-496A-8FD0-06DBB7190E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차트작업!$A$3:$A$7</c:f>
              <c:strCache>
                <c:ptCount val="5"/>
                <c:pt idx="0">
                  <c:v>대한민국</c:v>
                </c:pt>
                <c:pt idx="1">
                  <c:v>호주</c:v>
                </c:pt>
                <c:pt idx="2">
                  <c:v>일본</c:v>
                </c:pt>
                <c:pt idx="3">
                  <c:v>미국</c:v>
                </c:pt>
                <c:pt idx="4">
                  <c:v>영국</c:v>
                </c:pt>
              </c:strCache>
            </c:strRef>
          </c:cat>
          <c:val>
            <c:numRef>
              <c:f>차트작업!$B$3:$B$7</c:f>
              <c:numCache>
                <c:formatCode>General</c:formatCode>
                <c:ptCount val="5"/>
                <c:pt idx="0">
                  <c:v>35</c:v>
                </c:pt>
                <c:pt idx="1">
                  <c:v>4</c:v>
                </c:pt>
                <c:pt idx="2">
                  <c:v>9</c:v>
                </c:pt>
                <c:pt idx="3">
                  <c:v>31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F-4273-A63E-42D5CF5A997E}"/>
            </c:ext>
          </c:extLst>
        </c:ser>
        <c:ser>
          <c:idx val="1"/>
          <c:order val="1"/>
          <c:tx>
            <c:strRef>
              <c:f>차트작업!$C$2</c:f>
              <c:strCache>
                <c:ptCount val="1"/>
                <c:pt idx="0">
                  <c:v>은메달</c:v>
                </c:pt>
              </c:strCache>
            </c:strRef>
          </c:tx>
          <c:invertIfNegative val="0"/>
          <c:cat>
            <c:strRef>
              <c:f>차트작업!$A$3:$A$7</c:f>
              <c:strCache>
                <c:ptCount val="5"/>
                <c:pt idx="0">
                  <c:v>대한민국</c:v>
                </c:pt>
                <c:pt idx="1">
                  <c:v>호주</c:v>
                </c:pt>
                <c:pt idx="2">
                  <c:v>일본</c:v>
                </c:pt>
                <c:pt idx="3">
                  <c:v>미국</c:v>
                </c:pt>
                <c:pt idx="4">
                  <c:v>영국</c:v>
                </c:pt>
              </c:strCache>
            </c:strRef>
          </c:cat>
          <c:val>
            <c:numRef>
              <c:f>차트작업!$C$3:$C$7</c:f>
              <c:numCache>
                <c:formatCode>General</c:formatCode>
                <c:ptCount val="5"/>
                <c:pt idx="0">
                  <c:v>18</c:v>
                </c:pt>
                <c:pt idx="1">
                  <c:v>24</c:v>
                </c:pt>
                <c:pt idx="2">
                  <c:v>12</c:v>
                </c:pt>
                <c:pt idx="3">
                  <c:v>38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F-4273-A63E-42D5CF5A997E}"/>
            </c:ext>
          </c:extLst>
        </c:ser>
        <c:ser>
          <c:idx val="2"/>
          <c:order val="2"/>
          <c:tx>
            <c:strRef>
              <c:f>차트작업!$D$2</c:f>
              <c:strCache>
                <c:ptCount val="1"/>
                <c:pt idx="0">
                  <c:v>동메달</c:v>
                </c:pt>
              </c:strCache>
            </c:strRef>
          </c:tx>
          <c:invertIfNegative val="0"/>
          <c:cat>
            <c:strRef>
              <c:f>차트작업!$A$3:$A$7</c:f>
              <c:strCache>
                <c:ptCount val="5"/>
                <c:pt idx="0">
                  <c:v>대한민국</c:v>
                </c:pt>
                <c:pt idx="1">
                  <c:v>호주</c:v>
                </c:pt>
                <c:pt idx="2">
                  <c:v>일본</c:v>
                </c:pt>
                <c:pt idx="3">
                  <c:v>미국</c:v>
                </c:pt>
                <c:pt idx="4">
                  <c:v>영국</c:v>
                </c:pt>
              </c:strCache>
            </c:strRef>
          </c:cat>
          <c:val>
            <c:numRef>
              <c:f>차트작업!$D$3:$D$7</c:f>
              <c:numCache>
                <c:formatCode>General</c:formatCode>
                <c:ptCount val="5"/>
                <c:pt idx="0">
                  <c:v>31</c:v>
                </c:pt>
                <c:pt idx="1">
                  <c:v>12</c:v>
                </c:pt>
                <c:pt idx="2">
                  <c:v>27</c:v>
                </c:pt>
                <c:pt idx="3">
                  <c:v>28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A-496A-8FD0-06DBB719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11328"/>
        <c:axId val="54212864"/>
      </c:barChart>
      <c:catAx>
        <c:axId val="5421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212864"/>
        <c:crossesAt val="20"/>
        <c:auto val="1"/>
        <c:lblAlgn val="ctr"/>
        <c:lblOffset val="100"/>
        <c:noMultiLvlLbl val="0"/>
      </c:catAx>
      <c:valAx>
        <c:axId val="5421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211328"/>
        <c:crosses val="autoZero"/>
        <c:crossBetween val="between"/>
        <c:majorUnit val="10"/>
      </c:valAx>
    </c:plotArea>
    <c:legend>
      <c:legendPos val="b"/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3</xdr:col>
      <xdr:colOff>0</xdr:colOff>
      <xdr:row>14</xdr:row>
      <xdr:rowOff>0</xdr:rowOff>
    </xdr:to>
    <xdr:sp macro="[0]!합계" textlink="">
      <xdr:nvSpPr>
        <xdr:cNvPr id="4" name="웃는 얼굴 1">
          <a:extLst>
            <a:ext uri="{FF2B5EF4-FFF2-40B4-BE49-F238E27FC236}">
              <a16:creationId xmlns:a16="http://schemas.microsoft.com/office/drawing/2014/main" id="{6E7C8152-94AA-5149-DC29-50D29DB60312}"/>
            </a:ext>
          </a:extLst>
        </xdr:cNvPr>
        <xdr:cNvSpPr/>
      </xdr:nvSpPr>
      <xdr:spPr>
        <a:xfrm>
          <a:off x="685800" y="2562225"/>
          <a:ext cx="1371600" cy="41910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쉼표" textlink="">
      <xdr:nvSpPr>
        <xdr:cNvPr id="5" name="해 1">
          <a:extLst>
            <a:ext uri="{FF2B5EF4-FFF2-40B4-BE49-F238E27FC236}">
              <a16:creationId xmlns:a16="http://schemas.microsoft.com/office/drawing/2014/main" id="{8FEB1818-3FD0-8EAB-D63D-13CA055F68BB}"/>
            </a:ext>
          </a:extLst>
        </xdr:cNvPr>
        <xdr:cNvSpPr/>
      </xdr:nvSpPr>
      <xdr:spPr>
        <a:xfrm>
          <a:off x="2886075" y="2562225"/>
          <a:ext cx="1676400" cy="419100"/>
        </a:xfrm>
        <a:prstGeom prst="su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쉼표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2"/>
  <sheetViews>
    <sheetView tabSelected="1" workbookViewId="0"/>
  </sheetViews>
  <sheetFormatPr defaultRowHeight="16.5" x14ac:dyDescent="0.3"/>
  <cols>
    <col min="3" max="3" width="11.125" bestFit="1" customWidth="1"/>
  </cols>
  <sheetData>
    <row r="1" spans="1:7" x14ac:dyDescent="0.3">
      <c r="A1" t="s">
        <v>0</v>
      </c>
    </row>
    <row r="3" spans="1:7" x14ac:dyDescent="0.3">
      <c r="A3" t="s">
        <v>1</v>
      </c>
      <c r="B3" t="s">
        <v>210</v>
      </c>
      <c r="C3" t="s">
        <v>211</v>
      </c>
      <c r="D3" t="s">
        <v>212</v>
      </c>
      <c r="E3" t="s">
        <v>213</v>
      </c>
      <c r="F3" t="s">
        <v>214</v>
      </c>
      <c r="G3" t="s">
        <v>215</v>
      </c>
    </row>
    <row r="4" spans="1:7" x14ac:dyDescent="0.3">
      <c r="A4" t="s">
        <v>216</v>
      </c>
      <c r="B4" t="s">
        <v>217</v>
      </c>
      <c r="C4" s="1">
        <v>45327</v>
      </c>
      <c r="D4" t="s">
        <v>218</v>
      </c>
      <c r="E4">
        <v>200000</v>
      </c>
      <c r="F4">
        <v>20</v>
      </c>
      <c r="G4" t="s">
        <v>219</v>
      </c>
    </row>
    <row r="5" spans="1:7" x14ac:dyDescent="0.3">
      <c r="A5" t="s">
        <v>220</v>
      </c>
      <c r="B5" t="s">
        <v>217</v>
      </c>
      <c r="C5" s="1">
        <v>45327</v>
      </c>
      <c r="D5" t="s">
        <v>221</v>
      </c>
      <c r="E5">
        <v>350000</v>
      </c>
      <c r="F5">
        <v>30</v>
      </c>
      <c r="G5" t="s">
        <v>219</v>
      </c>
    </row>
    <row r="6" spans="1:7" x14ac:dyDescent="0.3">
      <c r="A6" t="s">
        <v>222</v>
      </c>
      <c r="B6" t="s">
        <v>217</v>
      </c>
      <c r="C6" s="1">
        <v>45329</v>
      </c>
      <c r="D6" t="s">
        <v>221</v>
      </c>
      <c r="E6">
        <v>300000</v>
      </c>
      <c r="F6">
        <v>25</v>
      </c>
      <c r="G6" t="s">
        <v>219</v>
      </c>
    </row>
    <row r="7" spans="1:7" x14ac:dyDescent="0.3">
      <c r="A7" t="s">
        <v>223</v>
      </c>
      <c r="B7" t="s">
        <v>224</v>
      </c>
      <c r="C7" s="1">
        <v>45330</v>
      </c>
      <c r="D7" t="s">
        <v>225</v>
      </c>
      <c r="E7">
        <v>1400000</v>
      </c>
      <c r="F7">
        <v>20</v>
      </c>
      <c r="G7" t="s">
        <v>226</v>
      </c>
    </row>
    <row r="8" spans="1:7" x14ac:dyDescent="0.3">
      <c r="A8" t="s">
        <v>227</v>
      </c>
      <c r="B8" t="s">
        <v>224</v>
      </c>
      <c r="C8" s="1">
        <v>45330</v>
      </c>
      <c r="D8" t="s">
        <v>228</v>
      </c>
      <c r="E8">
        <v>800000</v>
      </c>
      <c r="F8">
        <v>30</v>
      </c>
      <c r="G8" t="s">
        <v>226</v>
      </c>
    </row>
    <row r="9" spans="1:7" x14ac:dyDescent="0.3">
      <c r="A9" t="s">
        <v>229</v>
      </c>
      <c r="B9" t="s">
        <v>224</v>
      </c>
      <c r="C9" s="1">
        <v>45333</v>
      </c>
      <c r="D9" t="s">
        <v>225</v>
      </c>
      <c r="E9">
        <v>1250000</v>
      </c>
      <c r="F9">
        <v>25</v>
      </c>
      <c r="G9" t="s">
        <v>226</v>
      </c>
    </row>
    <row r="10" spans="1:7" x14ac:dyDescent="0.3">
      <c r="A10" t="s">
        <v>230</v>
      </c>
      <c r="B10" t="s">
        <v>224</v>
      </c>
      <c r="C10" s="1">
        <v>45333</v>
      </c>
      <c r="D10" t="s">
        <v>225</v>
      </c>
      <c r="E10">
        <v>1200000</v>
      </c>
      <c r="F10">
        <v>30</v>
      </c>
      <c r="G10" t="s">
        <v>226</v>
      </c>
    </row>
    <row r="11" spans="1:7" x14ac:dyDescent="0.3">
      <c r="A11" t="s">
        <v>231</v>
      </c>
      <c r="B11" t="s">
        <v>217</v>
      </c>
      <c r="C11" s="1">
        <v>45335</v>
      </c>
      <c r="D11" t="s">
        <v>232</v>
      </c>
      <c r="E11">
        <v>120000</v>
      </c>
      <c r="F11">
        <v>35</v>
      </c>
      <c r="G11" t="s">
        <v>219</v>
      </c>
    </row>
    <row r="12" spans="1:7" x14ac:dyDescent="0.3">
      <c r="A12" t="s">
        <v>233</v>
      </c>
      <c r="B12" t="s">
        <v>217</v>
      </c>
      <c r="C12" s="1">
        <v>45335</v>
      </c>
      <c r="D12" t="s">
        <v>232</v>
      </c>
      <c r="E12">
        <v>120000</v>
      </c>
      <c r="F12">
        <v>30</v>
      </c>
      <c r="G12" t="s">
        <v>219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7"/>
  <sheetViews>
    <sheetView workbookViewId="0">
      <selection sqref="A1:H1"/>
    </sheetView>
  </sheetViews>
  <sheetFormatPr defaultRowHeight="16.5" x14ac:dyDescent="0.3"/>
  <cols>
    <col min="1" max="1" width="9.375" bestFit="1" customWidth="1"/>
    <col min="8" max="8" width="11.625" bestFit="1" customWidth="1"/>
  </cols>
  <sheetData>
    <row r="1" spans="1:8" ht="22.5" x14ac:dyDescent="0.3">
      <c r="A1" s="17" t="s">
        <v>234</v>
      </c>
      <c r="B1" s="17"/>
      <c r="C1" s="17"/>
      <c r="D1" s="17"/>
      <c r="E1" s="17"/>
      <c r="F1" s="17"/>
      <c r="G1" s="17"/>
      <c r="H1" s="17"/>
    </row>
    <row r="3" spans="1:8" x14ac:dyDescent="0.3">
      <c r="A3" s="14" t="s">
        <v>2</v>
      </c>
      <c r="B3" s="14" t="s">
        <v>3</v>
      </c>
      <c r="C3" s="14" t="s">
        <v>4</v>
      </c>
      <c r="D3" s="14" t="s">
        <v>5</v>
      </c>
      <c r="E3" s="14" t="s">
        <v>6</v>
      </c>
      <c r="F3" s="14" t="s">
        <v>7</v>
      </c>
      <c r="G3" s="14" t="s">
        <v>8</v>
      </c>
      <c r="H3" s="14" t="s">
        <v>9</v>
      </c>
    </row>
    <row r="4" spans="1:8" x14ac:dyDescent="0.3">
      <c r="A4" s="14" t="s">
        <v>10</v>
      </c>
      <c r="B4" s="14" t="s">
        <v>11</v>
      </c>
      <c r="C4" s="14">
        <v>3000000</v>
      </c>
      <c r="D4" s="14">
        <v>340</v>
      </c>
      <c r="E4" s="14">
        <v>300</v>
      </c>
      <c r="F4" s="14">
        <v>315</v>
      </c>
      <c r="G4" s="14">
        <f>D4-F4</f>
        <v>25</v>
      </c>
      <c r="H4" s="14">
        <f>C4*F4</f>
        <v>945000000</v>
      </c>
    </row>
    <row r="5" spans="1:8" x14ac:dyDescent="0.3">
      <c r="A5" s="14" t="s">
        <v>10</v>
      </c>
      <c r="B5" s="14" t="s">
        <v>12</v>
      </c>
      <c r="C5" s="14">
        <v>3000000</v>
      </c>
      <c r="D5" s="14">
        <v>240</v>
      </c>
      <c r="E5" s="14">
        <v>200</v>
      </c>
      <c r="F5" s="14">
        <v>193</v>
      </c>
      <c r="G5" s="14">
        <f t="shared" ref="G5:G15" si="0">D5-F5</f>
        <v>47</v>
      </c>
      <c r="H5" s="14">
        <f t="shared" ref="H5:H15" si="1">C5*F5</f>
        <v>579000000</v>
      </c>
    </row>
    <row r="6" spans="1:8" x14ac:dyDescent="0.3">
      <c r="A6" s="14" t="s">
        <v>10</v>
      </c>
      <c r="B6" s="14" t="s">
        <v>13</v>
      </c>
      <c r="C6" s="14">
        <v>3000000</v>
      </c>
      <c r="D6" s="14">
        <v>240</v>
      </c>
      <c r="E6" s="14">
        <v>200</v>
      </c>
      <c r="F6" s="14">
        <v>168</v>
      </c>
      <c r="G6" s="14">
        <f t="shared" si="0"/>
        <v>72</v>
      </c>
      <c r="H6" s="14">
        <f t="shared" si="1"/>
        <v>504000000</v>
      </c>
    </row>
    <row r="7" spans="1:8" x14ac:dyDescent="0.3">
      <c r="A7" s="14" t="s">
        <v>14</v>
      </c>
      <c r="B7" s="14" t="s">
        <v>11</v>
      </c>
      <c r="C7" s="14">
        <v>2500000</v>
      </c>
      <c r="D7" s="14">
        <v>300</v>
      </c>
      <c r="E7" s="14">
        <v>250</v>
      </c>
      <c r="F7" s="14">
        <v>283</v>
      </c>
      <c r="G7" s="14">
        <f t="shared" si="0"/>
        <v>17</v>
      </c>
      <c r="H7" s="14">
        <f t="shared" si="1"/>
        <v>707500000</v>
      </c>
    </row>
    <row r="8" spans="1:8" x14ac:dyDescent="0.3">
      <c r="A8" s="14" t="s">
        <v>14</v>
      </c>
      <c r="B8" s="14" t="s">
        <v>12</v>
      </c>
      <c r="C8" s="14">
        <v>2500000</v>
      </c>
      <c r="D8" s="14">
        <v>200</v>
      </c>
      <c r="E8" s="14">
        <v>180</v>
      </c>
      <c r="F8" s="14">
        <v>190</v>
      </c>
      <c r="G8" s="14">
        <f t="shared" si="0"/>
        <v>10</v>
      </c>
      <c r="H8" s="14">
        <f t="shared" si="1"/>
        <v>475000000</v>
      </c>
    </row>
    <row r="9" spans="1:8" x14ac:dyDescent="0.3">
      <c r="A9" s="14" t="s">
        <v>14</v>
      </c>
      <c r="B9" s="14" t="s">
        <v>13</v>
      </c>
      <c r="C9" s="14">
        <v>2500000</v>
      </c>
      <c r="D9" s="14">
        <v>200</v>
      </c>
      <c r="E9" s="14">
        <v>160</v>
      </c>
      <c r="F9" s="14">
        <v>168</v>
      </c>
      <c r="G9" s="14">
        <f t="shared" si="0"/>
        <v>32</v>
      </c>
      <c r="H9" s="14">
        <f t="shared" si="1"/>
        <v>420000000</v>
      </c>
    </row>
    <row r="10" spans="1:8" x14ac:dyDescent="0.3">
      <c r="A10" s="14" t="s">
        <v>15</v>
      </c>
      <c r="B10" s="14" t="s">
        <v>11</v>
      </c>
      <c r="C10" s="14">
        <v>1600000</v>
      </c>
      <c r="D10" s="14">
        <v>400</v>
      </c>
      <c r="E10" s="14">
        <v>350</v>
      </c>
      <c r="F10" s="14">
        <v>384</v>
      </c>
      <c r="G10" s="14">
        <f t="shared" si="0"/>
        <v>16</v>
      </c>
      <c r="H10" s="14">
        <f t="shared" si="1"/>
        <v>614400000</v>
      </c>
    </row>
    <row r="11" spans="1:8" x14ac:dyDescent="0.3">
      <c r="A11" s="14" t="s">
        <v>15</v>
      </c>
      <c r="B11" s="14" t="s">
        <v>12</v>
      </c>
      <c r="C11" s="14">
        <v>1600000</v>
      </c>
      <c r="D11" s="14">
        <v>350</v>
      </c>
      <c r="E11" s="14">
        <v>300</v>
      </c>
      <c r="F11" s="14">
        <v>265</v>
      </c>
      <c r="G11" s="14">
        <f t="shared" si="0"/>
        <v>85</v>
      </c>
      <c r="H11" s="14">
        <f t="shared" si="1"/>
        <v>424000000</v>
      </c>
    </row>
    <row r="12" spans="1:8" x14ac:dyDescent="0.3">
      <c r="A12" s="14" t="s">
        <v>15</v>
      </c>
      <c r="B12" s="14" t="s">
        <v>13</v>
      </c>
      <c r="C12" s="14">
        <v>1600000</v>
      </c>
      <c r="D12" s="14">
        <v>350</v>
      </c>
      <c r="E12" s="14">
        <v>320</v>
      </c>
      <c r="F12" s="14">
        <v>336</v>
      </c>
      <c r="G12" s="14">
        <f t="shared" si="0"/>
        <v>14</v>
      </c>
      <c r="H12" s="14">
        <f t="shared" si="1"/>
        <v>537600000</v>
      </c>
    </row>
    <row r="13" spans="1:8" x14ac:dyDescent="0.3">
      <c r="A13" s="14" t="s">
        <v>16</v>
      </c>
      <c r="B13" s="14" t="s">
        <v>11</v>
      </c>
      <c r="C13" s="14">
        <v>2800000</v>
      </c>
      <c r="D13" s="14">
        <v>250</v>
      </c>
      <c r="E13" s="14">
        <v>200</v>
      </c>
      <c r="F13" s="14">
        <v>218</v>
      </c>
      <c r="G13" s="14">
        <f t="shared" si="0"/>
        <v>32</v>
      </c>
      <c r="H13" s="14">
        <f t="shared" si="1"/>
        <v>610400000</v>
      </c>
    </row>
    <row r="14" spans="1:8" x14ac:dyDescent="0.3">
      <c r="A14" s="14" t="s">
        <v>16</v>
      </c>
      <c r="B14" s="14" t="s">
        <v>12</v>
      </c>
      <c r="C14" s="14">
        <v>2800000</v>
      </c>
      <c r="D14" s="14">
        <v>200</v>
      </c>
      <c r="E14" s="14">
        <v>150</v>
      </c>
      <c r="F14" s="14">
        <v>196</v>
      </c>
      <c r="G14" s="14">
        <f t="shared" si="0"/>
        <v>4</v>
      </c>
      <c r="H14" s="14">
        <f t="shared" si="1"/>
        <v>548800000</v>
      </c>
    </row>
    <row r="15" spans="1:8" x14ac:dyDescent="0.3">
      <c r="A15" s="14" t="s">
        <v>16</v>
      </c>
      <c r="B15" s="14" t="s">
        <v>13</v>
      </c>
      <c r="C15" s="14">
        <v>2800000</v>
      </c>
      <c r="D15" s="14">
        <v>200</v>
      </c>
      <c r="E15" s="14">
        <v>150</v>
      </c>
      <c r="F15" s="14">
        <v>164</v>
      </c>
      <c r="G15" s="14">
        <f t="shared" si="0"/>
        <v>36</v>
      </c>
      <c r="H15" s="14">
        <f t="shared" si="1"/>
        <v>459200000</v>
      </c>
    </row>
    <row r="16" spans="1:8" x14ac:dyDescent="0.3">
      <c r="A16" s="18" t="s">
        <v>17</v>
      </c>
      <c r="B16" s="18"/>
      <c r="C16" s="18"/>
      <c r="D16" s="18"/>
      <c r="E16" s="18"/>
      <c r="F16" s="14">
        <f>AVERAGE(F4:F15)</f>
        <v>240</v>
      </c>
      <c r="G16" s="14">
        <v>32</v>
      </c>
      <c r="H16" s="14">
        <v>568700000</v>
      </c>
    </row>
    <row r="17" spans="1:8" x14ac:dyDescent="0.3">
      <c r="A17" s="18" t="s">
        <v>18</v>
      </c>
      <c r="B17" s="18"/>
      <c r="C17" s="18"/>
      <c r="D17" s="18"/>
      <c r="E17" s="18"/>
      <c r="F17" s="14">
        <f>SUM(F4:F15)</f>
        <v>2880</v>
      </c>
      <c r="G17" s="14">
        <f t="shared" ref="G17:H17" si="2">SUM(G4:G15)</f>
        <v>390</v>
      </c>
      <c r="H17" s="14">
        <f t="shared" si="2"/>
        <v>6824900000</v>
      </c>
    </row>
  </sheetData>
  <mergeCells count="3">
    <mergeCell ref="A1:H1"/>
    <mergeCell ref="A17:E17"/>
    <mergeCell ref="A16:E16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3"/>
  <sheetViews>
    <sheetView zoomScaleNormal="100" workbookViewId="0">
      <selection sqref="A1:F1"/>
    </sheetView>
  </sheetViews>
  <sheetFormatPr defaultRowHeight="16.5" x14ac:dyDescent="0.3"/>
  <cols>
    <col min="2" max="2" width="11" bestFit="1" customWidth="1"/>
    <col min="3" max="3" width="9.375" bestFit="1" customWidth="1"/>
    <col min="6" max="6" width="13" bestFit="1" customWidth="1"/>
  </cols>
  <sheetData>
    <row r="1" spans="1:6" ht="20.25" x14ac:dyDescent="0.3">
      <c r="A1" s="19" t="s">
        <v>19</v>
      </c>
      <c r="B1" s="19"/>
      <c r="C1" s="19"/>
      <c r="D1" s="19"/>
      <c r="E1" s="19"/>
      <c r="F1" s="19"/>
    </row>
    <row r="3" spans="1:6" x14ac:dyDescent="0.3">
      <c r="A3" s="2" t="s">
        <v>20</v>
      </c>
      <c r="B3" s="2" t="s">
        <v>21</v>
      </c>
      <c r="C3" s="2" t="s">
        <v>22</v>
      </c>
      <c r="D3" s="2" t="s">
        <v>23</v>
      </c>
      <c r="E3" s="2" t="s">
        <v>24</v>
      </c>
      <c r="F3" s="2" t="s">
        <v>25</v>
      </c>
    </row>
    <row r="4" spans="1:6" x14ac:dyDescent="0.3">
      <c r="A4" s="2" t="s">
        <v>26</v>
      </c>
      <c r="B4" s="2" t="s">
        <v>27</v>
      </c>
      <c r="C4" s="3">
        <v>70000</v>
      </c>
      <c r="D4" s="2" t="s">
        <v>28</v>
      </c>
      <c r="E4" s="2"/>
      <c r="F4" s="3">
        <v>70000</v>
      </c>
    </row>
    <row r="5" spans="1:6" x14ac:dyDescent="0.3">
      <c r="A5" s="2" t="s">
        <v>29</v>
      </c>
      <c r="B5" s="2" t="s">
        <v>30</v>
      </c>
      <c r="C5" s="3">
        <v>36500</v>
      </c>
      <c r="D5" s="2" t="s">
        <v>28</v>
      </c>
      <c r="E5" s="2"/>
      <c r="F5" s="3">
        <v>36500</v>
      </c>
    </row>
    <row r="6" spans="1:6" x14ac:dyDescent="0.3">
      <c r="A6" s="2" t="s">
        <v>31</v>
      </c>
      <c r="B6" s="2" t="s">
        <v>32</v>
      </c>
      <c r="C6" s="3">
        <v>50000</v>
      </c>
      <c r="D6" s="2" t="s">
        <v>28</v>
      </c>
      <c r="E6" s="2"/>
      <c r="F6" s="3">
        <v>50000</v>
      </c>
    </row>
    <row r="7" spans="1:6" x14ac:dyDescent="0.3">
      <c r="A7" s="2" t="s">
        <v>33</v>
      </c>
      <c r="B7" s="2" t="s">
        <v>34</v>
      </c>
      <c r="C7" s="3">
        <v>75100</v>
      </c>
      <c r="D7" s="2" t="s">
        <v>28</v>
      </c>
      <c r="E7" s="2"/>
      <c r="F7" s="3">
        <v>75100</v>
      </c>
    </row>
    <row r="8" spans="1:6" x14ac:dyDescent="0.3">
      <c r="A8" s="2" t="s">
        <v>35</v>
      </c>
      <c r="B8" s="2" t="s">
        <v>36</v>
      </c>
      <c r="C8" s="3">
        <v>180000</v>
      </c>
      <c r="D8" s="2" t="s">
        <v>37</v>
      </c>
      <c r="E8" s="2">
        <v>6</v>
      </c>
      <c r="F8" s="3">
        <v>30000</v>
      </c>
    </row>
    <row r="9" spans="1:6" x14ac:dyDescent="0.3">
      <c r="A9" s="2" t="s">
        <v>38</v>
      </c>
      <c r="B9" s="2" t="s">
        <v>39</v>
      </c>
      <c r="C9" s="3">
        <v>10000</v>
      </c>
      <c r="D9" s="2" t="s">
        <v>28</v>
      </c>
      <c r="E9" s="2"/>
      <c r="F9" s="3">
        <v>10000</v>
      </c>
    </row>
    <row r="10" spans="1:6" x14ac:dyDescent="0.3">
      <c r="A10" s="2" t="s">
        <v>40</v>
      </c>
      <c r="B10" s="2" t="s">
        <v>41</v>
      </c>
      <c r="C10" s="3">
        <v>120000</v>
      </c>
      <c r="D10" s="2" t="s">
        <v>37</v>
      </c>
      <c r="E10" s="2">
        <v>6</v>
      </c>
      <c r="F10" s="3">
        <v>20000</v>
      </c>
    </row>
    <row r="11" spans="1:6" x14ac:dyDescent="0.3">
      <c r="A11" s="2" t="s">
        <v>42</v>
      </c>
      <c r="B11" s="2" t="s">
        <v>43</v>
      </c>
      <c r="C11" s="3">
        <v>4000</v>
      </c>
      <c r="D11" s="2" t="s">
        <v>28</v>
      </c>
      <c r="E11" s="2"/>
      <c r="F11" s="3">
        <v>4000</v>
      </c>
    </row>
    <row r="12" spans="1:6" x14ac:dyDescent="0.3">
      <c r="A12" s="2" t="s">
        <v>44</v>
      </c>
      <c r="B12" s="2" t="s">
        <v>45</v>
      </c>
      <c r="C12" s="3">
        <v>18000</v>
      </c>
      <c r="D12" s="2" t="s">
        <v>28</v>
      </c>
      <c r="E12" s="2"/>
      <c r="F12" s="3">
        <v>18000</v>
      </c>
    </row>
    <row r="13" spans="1:6" x14ac:dyDescent="0.3">
      <c r="A13" s="2" t="s">
        <v>46</v>
      </c>
      <c r="B13" s="2" t="s">
        <v>47</v>
      </c>
      <c r="C13" s="3">
        <v>7500</v>
      </c>
      <c r="D13" s="2" t="s">
        <v>28</v>
      </c>
      <c r="E13" s="2"/>
      <c r="F13" s="3">
        <v>7500</v>
      </c>
    </row>
    <row r="14" spans="1:6" x14ac:dyDescent="0.3">
      <c r="A14" s="2" t="s">
        <v>48</v>
      </c>
      <c r="B14" s="2" t="s">
        <v>49</v>
      </c>
      <c r="C14" s="3">
        <v>169000</v>
      </c>
      <c r="D14" s="2" t="s">
        <v>37</v>
      </c>
      <c r="E14" s="2">
        <v>12</v>
      </c>
      <c r="F14" s="3">
        <v>14083</v>
      </c>
    </row>
    <row r="15" spans="1:6" x14ac:dyDescent="0.3">
      <c r="A15" s="2" t="s">
        <v>50</v>
      </c>
      <c r="B15" s="2" t="s">
        <v>27</v>
      </c>
      <c r="C15" s="3">
        <v>80000</v>
      </c>
      <c r="D15" s="2" t="s">
        <v>28</v>
      </c>
      <c r="E15" s="2"/>
      <c r="F15" s="3">
        <v>80000</v>
      </c>
    </row>
    <row r="16" spans="1:6" x14ac:dyDescent="0.3">
      <c r="A16" s="2" t="s">
        <v>51</v>
      </c>
      <c r="B16" s="2" t="s">
        <v>41</v>
      </c>
      <c r="C16" s="3">
        <v>90000</v>
      </c>
      <c r="D16" s="2" t="s">
        <v>37</v>
      </c>
      <c r="E16" s="2">
        <v>9</v>
      </c>
      <c r="F16" s="3">
        <v>10000</v>
      </c>
    </row>
    <row r="17" spans="1:6" x14ac:dyDescent="0.3">
      <c r="A17" s="2" t="s">
        <v>52</v>
      </c>
      <c r="B17" s="2" t="s">
        <v>34</v>
      </c>
      <c r="C17" s="3">
        <v>63150</v>
      </c>
      <c r="D17" s="2" t="s">
        <v>28</v>
      </c>
      <c r="E17" s="2"/>
      <c r="F17" s="3">
        <v>63150</v>
      </c>
    </row>
    <row r="18" spans="1:6" x14ac:dyDescent="0.3">
      <c r="A18" s="2" t="s">
        <v>53</v>
      </c>
      <c r="B18" s="2" t="s">
        <v>30</v>
      </c>
      <c r="C18" s="3">
        <v>15240</v>
      </c>
      <c r="D18" s="2" t="s">
        <v>28</v>
      </c>
      <c r="E18" s="2"/>
      <c r="F18" s="3">
        <v>15240</v>
      </c>
    </row>
    <row r="19" spans="1:6" x14ac:dyDescent="0.3">
      <c r="A19" s="2" t="s">
        <v>54</v>
      </c>
      <c r="B19" s="2" t="s">
        <v>47</v>
      </c>
      <c r="C19" s="3">
        <v>9480</v>
      </c>
      <c r="D19" s="2" t="s">
        <v>28</v>
      </c>
      <c r="E19" s="2"/>
      <c r="F19" s="3">
        <v>9480</v>
      </c>
    </row>
    <row r="20" spans="1:6" x14ac:dyDescent="0.3">
      <c r="A20" s="2" t="s">
        <v>55</v>
      </c>
      <c r="B20" s="2" t="s">
        <v>36</v>
      </c>
      <c r="C20" s="3">
        <v>150000</v>
      </c>
      <c r="D20" s="2" t="s">
        <v>28</v>
      </c>
      <c r="E20" s="2">
        <v>3</v>
      </c>
      <c r="F20" s="3">
        <v>50000</v>
      </c>
    </row>
    <row r="21" spans="1:6" x14ac:dyDescent="0.3">
      <c r="A21" s="2" t="s">
        <v>56</v>
      </c>
      <c r="B21" s="2" t="s">
        <v>49</v>
      </c>
      <c r="C21" s="3">
        <v>150000</v>
      </c>
      <c r="D21" s="2" t="s">
        <v>28</v>
      </c>
      <c r="E21" s="2"/>
      <c r="F21" s="3">
        <v>150000</v>
      </c>
    </row>
    <row r="22" spans="1:6" x14ac:dyDescent="0.3">
      <c r="A22" s="2" t="s">
        <v>57</v>
      </c>
      <c r="B22" s="2" t="s">
        <v>45</v>
      </c>
      <c r="C22" s="3">
        <v>15000</v>
      </c>
      <c r="D22" s="2" t="s">
        <v>28</v>
      </c>
      <c r="E22" s="2"/>
      <c r="F22" s="3">
        <v>15000</v>
      </c>
    </row>
    <row r="23" spans="1:6" x14ac:dyDescent="0.3">
      <c r="A23" s="2" t="s">
        <v>58</v>
      </c>
      <c r="B23" s="2" t="s">
        <v>32</v>
      </c>
      <c r="C23" s="3">
        <v>48000</v>
      </c>
      <c r="D23" s="2" t="s">
        <v>28</v>
      </c>
      <c r="E23" s="2"/>
      <c r="F23" s="3">
        <v>48000</v>
      </c>
    </row>
  </sheetData>
  <mergeCells count="1">
    <mergeCell ref="A1:F1"/>
  </mergeCells>
  <phoneticPr fontId="1" type="noConversion"/>
  <conditionalFormatting sqref="F4:F23">
    <cfRule type="top10" dxfId="0" priority="1" percent="1" rank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workbookViewId="0"/>
  </sheetViews>
  <sheetFormatPr defaultRowHeight="16.5" x14ac:dyDescent="0.3"/>
  <cols>
    <col min="6" max="6" width="3.625" customWidth="1"/>
    <col min="7" max="7" width="13.875" bestFit="1" customWidth="1"/>
    <col min="9" max="9" width="14.625" bestFit="1" customWidth="1"/>
  </cols>
  <sheetData>
    <row r="1" spans="1:9" x14ac:dyDescent="0.3">
      <c r="A1" s="4" t="s">
        <v>59</v>
      </c>
      <c r="B1" s="5" t="s">
        <v>60</v>
      </c>
    </row>
    <row r="2" spans="1:9" x14ac:dyDescent="0.3">
      <c r="A2" s="6"/>
      <c r="B2" s="2" t="s">
        <v>61</v>
      </c>
      <c r="C2" s="2" t="s">
        <v>62</v>
      </c>
      <c r="D2" s="2" t="s">
        <v>63</v>
      </c>
      <c r="E2" s="2" t="s">
        <v>64</v>
      </c>
    </row>
    <row r="3" spans="1:9" x14ac:dyDescent="0.3">
      <c r="A3" s="2" t="s">
        <v>61</v>
      </c>
      <c r="B3" s="3">
        <v>3000</v>
      </c>
      <c r="C3" s="3">
        <v>8000</v>
      </c>
      <c r="D3" s="3">
        <v>25000</v>
      </c>
      <c r="E3" s="3">
        <v>28000</v>
      </c>
    </row>
    <row r="4" spans="1:9" x14ac:dyDescent="0.3">
      <c r="A4" s="2" t="s">
        <v>62</v>
      </c>
      <c r="B4" s="3">
        <v>8000</v>
      </c>
      <c r="C4" s="3">
        <v>2000</v>
      </c>
      <c r="D4" s="3">
        <v>18000</v>
      </c>
      <c r="E4" s="3">
        <v>20000</v>
      </c>
    </row>
    <row r="5" spans="1:9" x14ac:dyDescent="0.3">
      <c r="A5" s="2" t="s">
        <v>63</v>
      </c>
      <c r="B5" s="3">
        <v>25000</v>
      </c>
      <c r="C5" s="3">
        <v>18000</v>
      </c>
      <c r="D5" s="3">
        <v>2500</v>
      </c>
      <c r="E5" s="3">
        <v>15000</v>
      </c>
    </row>
    <row r="6" spans="1:9" x14ac:dyDescent="0.3">
      <c r="A6" s="2" t="s">
        <v>64</v>
      </c>
      <c r="B6" s="3">
        <v>28000</v>
      </c>
      <c r="C6" s="3">
        <v>20000</v>
      </c>
      <c r="D6" s="3">
        <v>15000</v>
      </c>
      <c r="E6" s="3">
        <v>2000</v>
      </c>
    </row>
    <row r="8" spans="1:9" x14ac:dyDescent="0.3">
      <c r="A8" s="7" t="s">
        <v>65</v>
      </c>
      <c r="B8" s="7"/>
    </row>
    <row r="9" spans="1:9" x14ac:dyDescent="0.3">
      <c r="A9" s="2" t="s">
        <v>66</v>
      </c>
      <c r="B9" s="2" t="s">
        <v>61</v>
      </c>
      <c r="C9" s="2" t="s">
        <v>62</v>
      </c>
      <c r="D9" s="2" t="s">
        <v>63</v>
      </c>
      <c r="E9" s="2" t="s">
        <v>64</v>
      </c>
      <c r="G9" s="2" t="s">
        <v>67</v>
      </c>
      <c r="H9" s="2" t="s">
        <v>68</v>
      </c>
      <c r="I9" s="8" t="s">
        <v>69</v>
      </c>
    </row>
    <row r="10" spans="1:9" x14ac:dyDescent="0.3">
      <c r="A10" s="2" t="s">
        <v>70</v>
      </c>
      <c r="B10" s="2">
        <v>1</v>
      </c>
      <c r="C10" s="2">
        <v>2</v>
      </c>
      <c r="D10" s="2">
        <v>3</v>
      </c>
      <c r="E10" s="2">
        <v>4</v>
      </c>
      <c r="G10" s="2" t="s">
        <v>63</v>
      </c>
      <c r="H10" s="2" t="s">
        <v>64</v>
      </c>
      <c r="I10" s="3" cm="1">
        <f t="array" ref="I10">INDEX(B3:E6,HLOOKUP(A5,$B$9:$E$10,2,FALSE),HLOOKUP(E2,$B$9:$E$10,2,FALSE))</f>
        <v>15000</v>
      </c>
    </row>
    <row r="12" spans="1:9" x14ac:dyDescent="0.3">
      <c r="A12" s="4" t="s">
        <v>71</v>
      </c>
      <c r="B12" s="5" t="s">
        <v>72</v>
      </c>
      <c r="G12" s="4" t="s">
        <v>73</v>
      </c>
      <c r="H12" s="5" t="s">
        <v>74</v>
      </c>
    </row>
    <row r="13" spans="1:9" x14ac:dyDescent="0.3">
      <c r="A13" s="2" t="s">
        <v>75</v>
      </c>
      <c r="B13" s="2" t="s">
        <v>76</v>
      </c>
      <c r="C13" s="2" t="s">
        <v>77</v>
      </c>
      <c r="D13" s="2" t="s">
        <v>78</v>
      </c>
      <c r="E13" s="8" t="s">
        <v>79</v>
      </c>
      <c r="G13" s="2" t="s">
        <v>80</v>
      </c>
      <c r="H13" s="2" t="s">
        <v>81</v>
      </c>
      <c r="I13" s="2" t="s">
        <v>82</v>
      </c>
    </row>
    <row r="14" spans="1:9" x14ac:dyDescent="0.3">
      <c r="A14" s="2" t="s">
        <v>83</v>
      </c>
      <c r="B14" s="2">
        <v>76</v>
      </c>
      <c r="C14" s="2">
        <v>78</v>
      </c>
      <c r="D14" s="2">
        <f t="shared" ref="D14:D23" si="0">B14+C14</f>
        <v>154</v>
      </c>
      <c r="E14" s="2" t="str">
        <f>IF(_xlfn.RANK.EQ(D14,$D$14:$D$23)=1,"최우수",IF(_xlfn.RANK.EQ(D14,$D$14:$D$23)=2,"우수",""))</f>
        <v/>
      </c>
      <c r="G14" s="2" t="s">
        <v>84</v>
      </c>
      <c r="H14" s="2" t="s">
        <v>85</v>
      </c>
      <c r="I14" s="2" t="s">
        <v>86</v>
      </c>
    </row>
    <row r="15" spans="1:9" x14ac:dyDescent="0.3">
      <c r="A15" s="2" t="s">
        <v>87</v>
      </c>
      <c r="B15" s="2">
        <v>48</v>
      </c>
      <c r="C15" s="2">
        <v>64</v>
      </c>
      <c r="D15" s="2">
        <f t="shared" si="0"/>
        <v>112</v>
      </c>
      <c r="E15" s="2" t="str">
        <f t="shared" ref="E15:E23" si="1">IF(_xlfn.RANK.EQ(D15,$D$14:$D$23)=1,"최우수",IF(_xlfn.RANK.EQ(D15,$D$14:$D$23)=2,"우수",""))</f>
        <v/>
      </c>
      <c r="G15" s="2" t="s">
        <v>88</v>
      </c>
      <c r="H15" s="2" t="s">
        <v>89</v>
      </c>
      <c r="I15" s="2" t="s">
        <v>86</v>
      </c>
    </row>
    <row r="16" spans="1:9" x14ac:dyDescent="0.3">
      <c r="A16" s="2" t="s">
        <v>90</v>
      </c>
      <c r="B16" s="2">
        <v>92</v>
      </c>
      <c r="C16" s="2">
        <v>93</v>
      </c>
      <c r="D16" s="2">
        <f t="shared" si="0"/>
        <v>185</v>
      </c>
      <c r="E16" s="2" t="str">
        <f t="shared" si="1"/>
        <v>우수</v>
      </c>
      <c r="G16" s="2" t="s">
        <v>91</v>
      </c>
      <c r="H16" s="2" t="s">
        <v>85</v>
      </c>
      <c r="I16" s="2"/>
    </row>
    <row r="17" spans="1:10" x14ac:dyDescent="0.3">
      <c r="A17" s="2" t="s">
        <v>92</v>
      </c>
      <c r="B17" s="2">
        <v>84</v>
      </c>
      <c r="C17" s="2">
        <v>87</v>
      </c>
      <c r="D17" s="2">
        <f t="shared" si="0"/>
        <v>171</v>
      </c>
      <c r="E17" s="2" t="str">
        <f t="shared" si="1"/>
        <v/>
      </c>
      <c r="G17" s="2" t="s">
        <v>93</v>
      </c>
      <c r="H17" s="2" t="s">
        <v>89</v>
      </c>
      <c r="I17" s="2" t="s">
        <v>86</v>
      </c>
    </row>
    <row r="18" spans="1:10" x14ac:dyDescent="0.3">
      <c r="A18" s="2" t="s">
        <v>94</v>
      </c>
      <c r="B18" s="2">
        <v>88</v>
      </c>
      <c r="C18" s="2">
        <v>89</v>
      </c>
      <c r="D18" s="2">
        <f t="shared" si="0"/>
        <v>177</v>
      </c>
      <c r="E18" s="2" t="str">
        <f t="shared" si="1"/>
        <v/>
      </c>
      <c r="G18" s="2" t="s">
        <v>95</v>
      </c>
      <c r="H18" s="2" t="s">
        <v>85</v>
      </c>
      <c r="I18" s="2" t="s">
        <v>86</v>
      </c>
    </row>
    <row r="19" spans="1:10" x14ac:dyDescent="0.3">
      <c r="A19" s="2" t="s">
        <v>96</v>
      </c>
      <c r="B19" s="2">
        <v>95</v>
      </c>
      <c r="C19" s="2">
        <v>96</v>
      </c>
      <c r="D19" s="2">
        <f t="shared" si="0"/>
        <v>191</v>
      </c>
      <c r="E19" s="2" t="str">
        <f t="shared" si="1"/>
        <v>최우수</v>
      </c>
      <c r="G19" s="2" t="s">
        <v>97</v>
      </c>
      <c r="H19" s="2" t="s">
        <v>85</v>
      </c>
      <c r="I19" s="2"/>
    </row>
    <row r="20" spans="1:10" x14ac:dyDescent="0.3">
      <c r="A20" s="2" t="s">
        <v>98</v>
      </c>
      <c r="B20" s="2">
        <v>76</v>
      </c>
      <c r="C20" s="2">
        <v>86</v>
      </c>
      <c r="D20" s="2">
        <f t="shared" si="0"/>
        <v>162</v>
      </c>
      <c r="E20" s="2" t="str">
        <f t="shared" si="1"/>
        <v/>
      </c>
      <c r="G20" s="2" t="s">
        <v>99</v>
      </c>
      <c r="H20" s="2" t="s">
        <v>89</v>
      </c>
      <c r="I20" s="2" t="s">
        <v>86</v>
      </c>
    </row>
    <row r="21" spans="1:10" x14ac:dyDescent="0.3">
      <c r="A21" s="2" t="s">
        <v>100</v>
      </c>
      <c r="B21" s="2">
        <v>68</v>
      </c>
      <c r="C21" s="2">
        <v>73</v>
      </c>
      <c r="D21" s="2">
        <f t="shared" si="0"/>
        <v>141</v>
      </c>
      <c r="E21" s="2" t="str">
        <f t="shared" si="1"/>
        <v/>
      </c>
      <c r="G21" s="2" t="s">
        <v>101</v>
      </c>
      <c r="H21" s="2" t="s">
        <v>89</v>
      </c>
      <c r="I21" s="2"/>
    </row>
    <row r="22" spans="1:10" x14ac:dyDescent="0.3">
      <c r="A22" s="2" t="s">
        <v>102</v>
      </c>
      <c r="B22" s="2">
        <v>75</v>
      </c>
      <c r="C22" s="2">
        <v>80</v>
      </c>
      <c r="D22" s="2">
        <f t="shared" si="0"/>
        <v>155</v>
      </c>
      <c r="E22" s="2" t="str">
        <f t="shared" si="1"/>
        <v/>
      </c>
      <c r="G22" s="2" t="s">
        <v>103</v>
      </c>
      <c r="H22" s="2" t="s">
        <v>85</v>
      </c>
      <c r="I22" s="2" t="s">
        <v>86</v>
      </c>
    </row>
    <row r="23" spans="1:10" x14ac:dyDescent="0.3">
      <c r="A23" s="2" t="s">
        <v>104</v>
      </c>
      <c r="B23" s="2">
        <v>79</v>
      </c>
      <c r="C23" s="2">
        <v>86</v>
      </c>
      <c r="D23" s="2">
        <f t="shared" si="0"/>
        <v>165</v>
      </c>
      <c r="E23" s="2" t="str">
        <f t="shared" si="1"/>
        <v/>
      </c>
      <c r="G23" s="20" t="s">
        <v>105</v>
      </c>
      <c r="H23" s="21"/>
      <c r="I23" s="2">
        <f>DCOUNTA(G13:I22,I13,H13:H14)</f>
        <v>3</v>
      </c>
    </row>
    <row r="25" spans="1:10" x14ac:dyDescent="0.3">
      <c r="A25" s="4" t="s">
        <v>106</v>
      </c>
      <c r="B25" s="5" t="s">
        <v>107</v>
      </c>
      <c r="G25" s="4" t="s">
        <v>108</v>
      </c>
      <c r="H25" s="5" t="s">
        <v>109</v>
      </c>
    </row>
    <row r="26" spans="1:10" x14ac:dyDescent="0.3">
      <c r="A26" s="2" t="s">
        <v>110</v>
      </c>
      <c r="B26" s="2" t="s">
        <v>111</v>
      </c>
      <c r="C26" s="2" t="s">
        <v>81</v>
      </c>
      <c r="D26" s="2" t="s">
        <v>112</v>
      </c>
      <c r="E26" s="8" t="s">
        <v>113</v>
      </c>
      <c r="G26" s="2" t="s">
        <v>111</v>
      </c>
      <c r="H26" s="2" t="s">
        <v>114</v>
      </c>
      <c r="I26" s="2" t="s">
        <v>115</v>
      </c>
      <c r="J26" s="2" t="s">
        <v>116</v>
      </c>
    </row>
    <row r="27" spans="1:10" x14ac:dyDescent="0.3">
      <c r="A27" s="2" t="s">
        <v>117</v>
      </c>
      <c r="B27" s="2" t="s">
        <v>118</v>
      </c>
      <c r="C27" s="2" t="s">
        <v>89</v>
      </c>
      <c r="D27" s="2" t="s">
        <v>119</v>
      </c>
      <c r="E27" s="2" t="str">
        <f>CHOOSE(RIGHT(A27,1),"과장","대리","사원")</f>
        <v>과장</v>
      </c>
      <c r="G27" s="2" t="s">
        <v>120</v>
      </c>
      <c r="H27" s="2">
        <v>89</v>
      </c>
      <c r="I27" s="2">
        <v>84</v>
      </c>
      <c r="J27" s="2">
        <v>80</v>
      </c>
    </row>
    <row r="28" spans="1:10" x14ac:dyDescent="0.3">
      <c r="A28" s="2" t="s">
        <v>121</v>
      </c>
      <c r="B28" s="2" t="s">
        <v>122</v>
      </c>
      <c r="C28" s="2" t="s">
        <v>89</v>
      </c>
      <c r="D28" s="2" t="s">
        <v>119</v>
      </c>
      <c r="E28" s="2" t="str">
        <f t="shared" ref="E28:E37" si="2">CHOOSE(RIGHT(A28,1),"과장","대리","사원")</f>
        <v>대리</v>
      </c>
      <c r="G28" s="2" t="s">
        <v>123</v>
      </c>
      <c r="H28" s="2">
        <v>79</v>
      </c>
      <c r="I28" s="2">
        <v>78</v>
      </c>
      <c r="J28" s="2">
        <v>76</v>
      </c>
    </row>
    <row r="29" spans="1:10" x14ac:dyDescent="0.3">
      <c r="A29" s="2" t="s">
        <v>121</v>
      </c>
      <c r="B29" s="2" t="s">
        <v>124</v>
      </c>
      <c r="C29" s="2" t="s">
        <v>89</v>
      </c>
      <c r="D29" s="2" t="s">
        <v>119</v>
      </c>
      <c r="E29" s="2" t="str">
        <f t="shared" si="2"/>
        <v>대리</v>
      </c>
      <c r="G29" s="2" t="s">
        <v>125</v>
      </c>
      <c r="H29" s="2">
        <v>81</v>
      </c>
      <c r="I29" s="2">
        <v>80</v>
      </c>
      <c r="J29" s="2">
        <v>75</v>
      </c>
    </row>
    <row r="30" spans="1:10" x14ac:dyDescent="0.3">
      <c r="A30" s="2" t="s">
        <v>126</v>
      </c>
      <c r="B30" s="2" t="s">
        <v>127</v>
      </c>
      <c r="C30" s="2" t="s">
        <v>89</v>
      </c>
      <c r="D30" s="2" t="s">
        <v>119</v>
      </c>
      <c r="E30" s="2" t="str">
        <f t="shared" si="2"/>
        <v>사원</v>
      </c>
      <c r="G30" s="2" t="s">
        <v>128</v>
      </c>
      <c r="H30" s="2">
        <v>82</v>
      </c>
      <c r="I30" s="2">
        <v>86</v>
      </c>
      <c r="J30" s="2">
        <v>88</v>
      </c>
    </row>
    <row r="31" spans="1:10" x14ac:dyDescent="0.3">
      <c r="A31" s="2" t="s">
        <v>129</v>
      </c>
      <c r="B31" s="2" t="s">
        <v>130</v>
      </c>
      <c r="C31" s="2" t="s">
        <v>85</v>
      </c>
      <c r="D31" s="2" t="s">
        <v>131</v>
      </c>
      <c r="E31" s="2" t="str">
        <f t="shared" si="2"/>
        <v>과장</v>
      </c>
      <c r="G31" s="2" t="s">
        <v>132</v>
      </c>
      <c r="H31" s="2">
        <v>92</v>
      </c>
      <c r="I31" s="2">
        <v>91</v>
      </c>
      <c r="J31" s="2">
        <v>92</v>
      </c>
    </row>
    <row r="32" spans="1:10" x14ac:dyDescent="0.3">
      <c r="A32" s="2" t="s">
        <v>133</v>
      </c>
      <c r="B32" s="2" t="s">
        <v>134</v>
      </c>
      <c r="C32" s="2" t="s">
        <v>85</v>
      </c>
      <c r="D32" s="2" t="s">
        <v>131</v>
      </c>
      <c r="E32" s="2" t="str">
        <f t="shared" si="2"/>
        <v>대리</v>
      </c>
      <c r="G32" s="2" t="s">
        <v>135</v>
      </c>
      <c r="H32" s="2">
        <v>89</v>
      </c>
      <c r="I32" s="2">
        <v>88</v>
      </c>
      <c r="J32" s="2">
        <v>91</v>
      </c>
    </row>
    <row r="33" spans="1:10" x14ac:dyDescent="0.3">
      <c r="A33" s="2" t="s">
        <v>136</v>
      </c>
      <c r="B33" s="2" t="s">
        <v>137</v>
      </c>
      <c r="C33" s="2" t="s">
        <v>89</v>
      </c>
      <c r="D33" s="2" t="s">
        <v>131</v>
      </c>
      <c r="E33" s="2" t="str">
        <f t="shared" si="2"/>
        <v>사원</v>
      </c>
      <c r="G33" s="2" t="s">
        <v>138</v>
      </c>
      <c r="H33" s="2">
        <v>67</v>
      </c>
      <c r="I33" s="2">
        <v>78</v>
      </c>
      <c r="J33" s="2">
        <v>76</v>
      </c>
    </row>
    <row r="34" spans="1:10" x14ac:dyDescent="0.3">
      <c r="A34" s="2" t="s">
        <v>139</v>
      </c>
      <c r="B34" s="2" t="s">
        <v>140</v>
      </c>
      <c r="C34" s="2" t="s">
        <v>85</v>
      </c>
      <c r="D34" s="2" t="s">
        <v>141</v>
      </c>
      <c r="E34" s="2" t="str">
        <f t="shared" si="2"/>
        <v>과장</v>
      </c>
      <c r="G34" s="2" t="s">
        <v>142</v>
      </c>
      <c r="H34" s="2">
        <v>78</v>
      </c>
      <c r="I34" s="2">
        <v>82</v>
      </c>
      <c r="J34" s="2">
        <v>81</v>
      </c>
    </row>
    <row r="35" spans="1:10" x14ac:dyDescent="0.3">
      <c r="A35" s="2" t="s">
        <v>143</v>
      </c>
      <c r="B35" s="2" t="s">
        <v>144</v>
      </c>
      <c r="C35" s="2" t="s">
        <v>85</v>
      </c>
      <c r="D35" s="2" t="s">
        <v>141</v>
      </c>
      <c r="E35" s="2" t="str">
        <f t="shared" si="2"/>
        <v>대리</v>
      </c>
      <c r="G35" s="2" t="s">
        <v>145</v>
      </c>
      <c r="H35" s="2">
        <v>89</v>
      </c>
      <c r="I35" s="2">
        <v>90</v>
      </c>
      <c r="J35" s="2">
        <v>88</v>
      </c>
    </row>
    <row r="36" spans="1:10" x14ac:dyDescent="0.3">
      <c r="A36" s="2" t="s">
        <v>146</v>
      </c>
      <c r="B36" s="2" t="s">
        <v>147</v>
      </c>
      <c r="C36" s="2" t="s">
        <v>89</v>
      </c>
      <c r="D36" s="2" t="s">
        <v>141</v>
      </c>
      <c r="E36" s="2" t="str">
        <f t="shared" si="2"/>
        <v>사원</v>
      </c>
      <c r="G36" s="2" t="s">
        <v>148</v>
      </c>
      <c r="H36" s="2">
        <v>80</v>
      </c>
      <c r="I36" s="2">
        <v>91</v>
      </c>
      <c r="J36" s="2">
        <v>92</v>
      </c>
    </row>
    <row r="37" spans="1:10" x14ac:dyDescent="0.3">
      <c r="A37" s="2" t="s">
        <v>146</v>
      </c>
      <c r="B37" s="2" t="s">
        <v>149</v>
      </c>
      <c r="C37" s="2" t="s">
        <v>85</v>
      </c>
      <c r="D37" s="2" t="s">
        <v>141</v>
      </c>
      <c r="E37" s="2" t="str">
        <f t="shared" si="2"/>
        <v>사원</v>
      </c>
      <c r="G37" s="8" t="s">
        <v>150</v>
      </c>
      <c r="H37" s="2" t="str">
        <f>COUNTIFS(H27:H36,"&gt;=80",H27:H36,"&lt;90")&amp;"명"</f>
        <v>6명</v>
      </c>
      <c r="I37" s="2" t="str">
        <f t="shared" ref="I37:J37" si="3">COUNTIFS(I27:I36,"&gt;=80",I27:I36,"&lt;90")&amp;"명"</f>
        <v>5명</v>
      </c>
      <c r="J37" s="2" t="str">
        <f t="shared" si="3"/>
        <v>4명</v>
      </c>
    </row>
  </sheetData>
  <mergeCells count="1">
    <mergeCell ref="G23:H2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9"/>
  <sheetViews>
    <sheetView workbookViewId="0">
      <selection sqref="A1:F1"/>
    </sheetView>
  </sheetViews>
  <sheetFormatPr defaultRowHeight="16.5" outlineLevelRow="3" x14ac:dyDescent="0.3"/>
  <cols>
    <col min="1" max="1" width="14" bestFit="1" customWidth="1"/>
    <col min="2" max="2" width="13" bestFit="1" customWidth="1"/>
  </cols>
  <sheetData>
    <row r="1" spans="1:6" ht="20.25" x14ac:dyDescent="0.3">
      <c r="A1" s="19" t="s">
        <v>151</v>
      </c>
      <c r="B1" s="19"/>
      <c r="C1" s="19"/>
      <c r="D1" s="19"/>
      <c r="E1" s="19"/>
      <c r="F1" s="19"/>
    </row>
    <row r="3" spans="1:6" x14ac:dyDescent="0.3">
      <c r="A3" s="2" t="s">
        <v>1</v>
      </c>
      <c r="B3" s="2" t="s">
        <v>152</v>
      </c>
      <c r="C3" s="2" t="s">
        <v>198</v>
      </c>
      <c r="D3" s="2" t="s">
        <v>199</v>
      </c>
      <c r="E3" s="2" t="s">
        <v>200</v>
      </c>
      <c r="F3" s="2" t="s">
        <v>173</v>
      </c>
    </row>
    <row r="4" spans="1:6" outlineLevel="3" x14ac:dyDescent="0.3">
      <c r="A4" s="2" t="s">
        <v>168</v>
      </c>
      <c r="B4" s="2" t="s">
        <v>169</v>
      </c>
      <c r="C4" s="2">
        <v>30</v>
      </c>
      <c r="D4" s="2">
        <v>33</v>
      </c>
      <c r="E4" s="2">
        <v>18</v>
      </c>
      <c r="F4" s="2">
        <f>SUM(C4:E4)</f>
        <v>81</v>
      </c>
    </row>
    <row r="5" spans="1:6" outlineLevel="3" x14ac:dyDescent="0.3">
      <c r="A5" s="2" t="s">
        <v>168</v>
      </c>
      <c r="B5" s="2" t="s">
        <v>171</v>
      </c>
      <c r="C5" s="2">
        <v>11</v>
      </c>
      <c r="D5" s="2">
        <v>5</v>
      </c>
      <c r="E5" s="2">
        <v>8</v>
      </c>
      <c r="F5" s="2">
        <f>SUM(C5:E5)</f>
        <v>24</v>
      </c>
    </row>
    <row r="6" spans="1:6" outlineLevel="3" x14ac:dyDescent="0.3">
      <c r="A6" s="2" t="s">
        <v>168</v>
      </c>
      <c r="B6" s="2" t="s">
        <v>172</v>
      </c>
      <c r="C6" s="2">
        <v>8</v>
      </c>
      <c r="D6" s="2">
        <v>9</v>
      </c>
      <c r="E6" s="2">
        <v>11</v>
      </c>
      <c r="F6" s="2">
        <f>SUM(C6:E6)</f>
        <v>28</v>
      </c>
    </row>
    <row r="7" spans="1:6" outlineLevel="3" x14ac:dyDescent="0.3">
      <c r="A7" s="2" t="s">
        <v>168</v>
      </c>
      <c r="B7" s="2" t="s">
        <v>170</v>
      </c>
      <c r="C7" s="2">
        <v>15</v>
      </c>
      <c r="D7" s="2">
        <v>10</v>
      </c>
      <c r="E7" s="2">
        <v>13</v>
      </c>
      <c r="F7" s="2">
        <f>SUM(C7:E7)</f>
        <v>38</v>
      </c>
    </row>
    <row r="8" spans="1:6" outlineLevel="2" x14ac:dyDescent="0.3">
      <c r="A8" s="15" t="s">
        <v>241</v>
      </c>
      <c r="B8" s="2"/>
      <c r="C8" s="2">
        <f>SUBTOTAL(4,C4:C7)</f>
        <v>30</v>
      </c>
      <c r="D8" s="2">
        <f>SUBTOTAL(4,D4:D7)</f>
        <v>33</v>
      </c>
      <c r="E8" s="2">
        <f>SUBTOTAL(4,E4:E7)</f>
        <v>18</v>
      </c>
      <c r="F8" s="2"/>
    </row>
    <row r="9" spans="1:6" outlineLevel="1" x14ac:dyDescent="0.3">
      <c r="A9" s="15" t="s">
        <v>235</v>
      </c>
      <c r="B9" s="2"/>
      <c r="C9" s="2"/>
      <c r="D9" s="2"/>
      <c r="E9" s="2"/>
      <c r="F9" s="2">
        <f>SUBTOTAL(9,F4:F7)</f>
        <v>171</v>
      </c>
    </row>
    <row r="10" spans="1:6" outlineLevel="3" x14ac:dyDescent="0.3">
      <c r="A10" s="2" t="s">
        <v>153</v>
      </c>
      <c r="B10" s="2" t="s">
        <v>157</v>
      </c>
      <c r="C10" s="2">
        <v>2</v>
      </c>
      <c r="D10" s="2">
        <v>1</v>
      </c>
      <c r="E10" s="2">
        <v>5</v>
      </c>
      <c r="F10" s="2">
        <f>SUM(C10:E10)</f>
        <v>8</v>
      </c>
    </row>
    <row r="11" spans="1:6" outlineLevel="3" x14ac:dyDescent="0.3">
      <c r="A11" s="2" t="s">
        <v>153</v>
      </c>
      <c r="B11" s="2" t="s">
        <v>154</v>
      </c>
      <c r="C11" s="2">
        <v>12</v>
      </c>
      <c r="D11" s="2">
        <v>10</v>
      </c>
      <c r="E11" s="2">
        <v>15</v>
      </c>
      <c r="F11" s="2">
        <f>SUM(C11:E11)</f>
        <v>37</v>
      </c>
    </row>
    <row r="12" spans="1:6" outlineLevel="3" x14ac:dyDescent="0.3">
      <c r="A12" s="2" t="s">
        <v>153</v>
      </c>
      <c r="B12" s="2" t="s">
        <v>156</v>
      </c>
      <c r="C12" s="2">
        <v>11</v>
      </c>
      <c r="D12" s="2">
        <v>8</v>
      </c>
      <c r="E12" s="2">
        <v>8</v>
      </c>
      <c r="F12" s="2">
        <f>SUM(C12:E12)</f>
        <v>27</v>
      </c>
    </row>
    <row r="13" spans="1:6" outlineLevel="3" x14ac:dyDescent="0.3">
      <c r="A13" s="2" t="s">
        <v>153</v>
      </c>
      <c r="B13" s="2" t="s">
        <v>155</v>
      </c>
      <c r="C13" s="2">
        <v>32</v>
      </c>
      <c r="D13" s="2">
        <v>35</v>
      </c>
      <c r="E13" s="2">
        <v>20</v>
      </c>
      <c r="F13" s="2">
        <f>SUM(C13:E13)</f>
        <v>87</v>
      </c>
    </row>
    <row r="14" spans="1:6" outlineLevel="2" x14ac:dyDescent="0.3">
      <c r="A14" s="15" t="s">
        <v>242</v>
      </c>
      <c r="B14" s="2"/>
      <c r="C14" s="2">
        <f>SUBTOTAL(4,C10:C13)</f>
        <v>32</v>
      </c>
      <c r="D14" s="2">
        <f>SUBTOTAL(4,D10:D13)</f>
        <v>35</v>
      </c>
      <c r="E14" s="2">
        <f>SUBTOTAL(4,E10:E13)</f>
        <v>20</v>
      </c>
      <c r="F14" s="2"/>
    </row>
    <row r="15" spans="1:6" outlineLevel="1" x14ac:dyDescent="0.3">
      <c r="A15" s="15" t="s">
        <v>236</v>
      </c>
      <c r="B15" s="2"/>
      <c r="C15" s="2"/>
      <c r="D15" s="2"/>
      <c r="E15" s="2"/>
      <c r="F15" s="2">
        <f>SUBTOTAL(9,F10:F13)</f>
        <v>159</v>
      </c>
    </row>
    <row r="16" spans="1:6" outlineLevel="3" x14ac:dyDescent="0.3">
      <c r="A16" s="2" t="s">
        <v>158</v>
      </c>
      <c r="B16" s="2" t="s">
        <v>161</v>
      </c>
      <c r="C16" s="2">
        <v>15</v>
      </c>
      <c r="D16" s="2">
        <v>12</v>
      </c>
      <c r="E16" s="2">
        <v>16</v>
      </c>
      <c r="F16" s="2">
        <f>SUM(C16:E16)</f>
        <v>43</v>
      </c>
    </row>
    <row r="17" spans="1:6" outlineLevel="3" x14ac:dyDescent="0.3">
      <c r="A17" s="2" t="s">
        <v>158</v>
      </c>
      <c r="B17" s="2" t="s">
        <v>162</v>
      </c>
      <c r="C17" s="2">
        <v>5</v>
      </c>
      <c r="D17" s="2">
        <v>3</v>
      </c>
      <c r="E17" s="2">
        <v>8</v>
      </c>
      <c r="F17" s="2">
        <f>SUM(C17:E17)</f>
        <v>16</v>
      </c>
    </row>
    <row r="18" spans="1:6" outlineLevel="3" x14ac:dyDescent="0.3">
      <c r="A18" s="2" t="s">
        <v>158</v>
      </c>
      <c r="B18" s="2" t="s">
        <v>159</v>
      </c>
      <c r="C18" s="2">
        <v>1</v>
      </c>
      <c r="D18" s="2">
        <v>5</v>
      </c>
      <c r="E18" s="2">
        <v>8</v>
      </c>
      <c r="F18" s="2">
        <f>SUM(C18:E18)</f>
        <v>14</v>
      </c>
    </row>
    <row r="19" spans="1:6" outlineLevel="3" x14ac:dyDescent="0.3">
      <c r="A19" s="2" t="s">
        <v>158</v>
      </c>
      <c r="B19" s="2" t="s">
        <v>160</v>
      </c>
      <c r="C19" s="2">
        <v>9</v>
      </c>
      <c r="D19" s="2">
        <v>4</v>
      </c>
      <c r="E19" s="2">
        <v>2</v>
      </c>
      <c r="F19" s="2">
        <f>SUM(C19:E19)</f>
        <v>15</v>
      </c>
    </row>
    <row r="20" spans="1:6" outlineLevel="2" x14ac:dyDescent="0.3">
      <c r="A20" s="15" t="s">
        <v>243</v>
      </c>
      <c r="B20" s="2"/>
      <c r="C20" s="2">
        <f>SUBTOTAL(4,C16:C19)</f>
        <v>15</v>
      </c>
      <c r="D20" s="2">
        <f>SUBTOTAL(4,D16:D19)</f>
        <v>12</v>
      </c>
      <c r="E20" s="2">
        <f>SUBTOTAL(4,E16:E19)</f>
        <v>16</v>
      </c>
      <c r="F20" s="2"/>
    </row>
    <row r="21" spans="1:6" outlineLevel="1" x14ac:dyDescent="0.3">
      <c r="A21" s="15" t="s">
        <v>237</v>
      </c>
      <c r="B21" s="2"/>
      <c r="C21" s="2"/>
      <c r="D21" s="2"/>
      <c r="E21" s="2"/>
      <c r="F21" s="2">
        <f>SUBTOTAL(9,F16:F19)</f>
        <v>88</v>
      </c>
    </row>
    <row r="22" spans="1:6" outlineLevel="3" x14ac:dyDescent="0.3">
      <c r="A22" s="2" t="s">
        <v>163</v>
      </c>
      <c r="B22" s="2" t="s">
        <v>167</v>
      </c>
      <c r="C22" s="2">
        <v>6</v>
      </c>
      <c r="D22" s="2">
        <v>8</v>
      </c>
      <c r="E22" s="2">
        <v>10</v>
      </c>
      <c r="F22" s="2">
        <f>SUM(C22:E22)</f>
        <v>24</v>
      </c>
    </row>
    <row r="23" spans="1:6" outlineLevel="3" x14ac:dyDescent="0.3">
      <c r="A23" s="2" t="s">
        <v>163</v>
      </c>
      <c r="B23" s="2" t="s">
        <v>166</v>
      </c>
      <c r="C23" s="2">
        <v>22</v>
      </c>
      <c r="D23" s="2">
        <v>27</v>
      </c>
      <c r="E23" s="2">
        <v>25</v>
      </c>
      <c r="F23" s="2">
        <f>SUM(C23:E23)</f>
        <v>74</v>
      </c>
    </row>
    <row r="24" spans="1:6" outlineLevel="3" x14ac:dyDescent="0.3">
      <c r="A24" s="2" t="s">
        <v>163</v>
      </c>
      <c r="B24" s="2" t="s">
        <v>164</v>
      </c>
      <c r="C24" s="2">
        <v>24</v>
      </c>
      <c r="D24" s="2">
        <v>20</v>
      </c>
      <c r="E24" s="2">
        <v>10</v>
      </c>
      <c r="F24" s="2">
        <f>SUM(C24:E24)</f>
        <v>54</v>
      </c>
    </row>
    <row r="25" spans="1:6" outlineLevel="3" x14ac:dyDescent="0.3">
      <c r="A25" s="2" t="s">
        <v>163</v>
      </c>
      <c r="B25" s="2" t="s">
        <v>165</v>
      </c>
      <c r="C25" s="2">
        <v>12</v>
      </c>
      <c r="D25" s="2">
        <v>18</v>
      </c>
      <c r="E25" s="2">
        <v>18</v>
      </c>
      <c r="F25" s="2">
        <f>SUM(C25:E25)</f>
        <v>48</v>
      </c>
    </row>
    <row r="26" spans="1:6" outlineLevel="2" x14ac:dyDescent="0.3">
      <c r="A26" s="16" t="s">
        <v>244</v>
      </c>
      <c r="B26" s="11"/>
      <c r="C26" s="11">
        <f>SUBTOTAL(4,C22:C25)</f>
        <v>24</v>
      </c>
      <c r="D26" s="11">
        <f>SUBTOTAL(4,D22:D25)</f>
        <v>27</v>
      </c>
      <c r="E26" s="11">
        <f>SUBTOTAL(4,E22:E25)</f>
        <v>25</v>
      </c>
      <c r="F26" s="11"/>
    </row>
    <row r="27" spans="1:6" outlineLevel="1" x14ac:dyDescent="0.3">
      <c r="A27" s="16" t="s">
        <v>238</v>
      </c>
      <c r="B27" s="11"/>
      <c r="C27" s="11"/>
      <c r="D27" s="11"/>
      <c r="E27" s="11"/>
      <c r="F27" s="11">
        <f>SUBTOTAL(9,F22:F25)</f>
        <v>200</v>
      </c>
    </row>
    <row r="28" spans="1:6" x14ac:dyDescent="0.3">
      <c r="A28" s="16" t="s">
        <v>240</v>
      </c>
      <c r="B28" s="11"/>
      <c r="C28" s="11">
        <f>SUBTOTAL(4,C4:C25)</f>
        <v>32</v>
      </c>
      <c r="D28" s="11">
        <f>SUBTOTAL(4,D4:D25)</f>
        <v>35</v>
      </c>
      <c r="E28" s="11">
        <f>SUBTOTAL(4,E4:E25)</f>
        <v>25</v>
      </c>
      <c r="F28" s="11"/>
    </row>
    <row r="29" spans="1:6" x14ac:dyDescent="0.3">
      <c r="A29" s="16" t="s">
        <v>239</v>
      </c>
      <c r="B29" s="11"/>
      <c r="C29" s="11"/>
      <c r="D29" s="11"/>
      <c r="E29" s="11"/>
      <c r="F29" s="11">
        <f>SUBTOTAL(9,F4:F25)</f>
        <v>618</v>
      </c>
    </row>
  </sheetData>
  <sortState xmlns:xlrd2="http://schemas.microsoft.com/office/spreadsheetml/2017/richdata2" ref="A4:F19">
    <sortCondition ref="A3"/>
  </sortState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I16"/>
  <sheetViews>
    <sheetView workbookViewId="0"/>
  </sheetViews>
  <sheetFormatPr defaultRowHeight="16.5" x14ac:dyDescent="0.3"/>
  <cols>
    <col min="1" max="1" width="2.625" customWidth="1"/>
    <col min="2" max="2" width="9" customWidth="1"/>
    <col min="3" max="9" width="9.375" customWidth="1"/>
  </cols>
  <sheetData>
    <row r="2" spans="2:9" x14ac:dyDescent="0.3">
      <c r="B2" s="5" t="s">
        <v>174</v>
      </c>
    </row>
    <row r="3" spans="2:9" x14ac:dyDescent="0.3">
      <c r="B3" s="2" t="s">
        <v>175</v>
      </c>
      <c r="C3" s="3">
        <v>9860</v>
      </c>
    </row>
    <row r="4" spans="2:9" x14ac:dyDescent="0.3">
      <c r="B4" s="2" t="s">
        <v>176</v>
      </c>
      <c r="C4" s="3">
        <v>10</v>
      </c>
    </row>
    <row r="5" spans="2:9" x14ac:dyDescent="0.3">
      <c r="B5" s="2" t="s">
        <v>177</v>
      </c>
      <c r="C5" s="3">
        <f>C3*C4</f>
        <v>98600</v>
      </c>
    </row>
    <row r="6" spans="2:9" x14ac:dyDescent="0.3">
      <c r="B6" s="11"/>
      <c r="C6" s="12"/>
    </row>
    <row r="8" spans="2:9" x14ac:dyDescent="0.3">
      <c r="D8" s="9" t="s">
        <v>175</v>
      </c>
    </row>
    <row r="9" spans="2:9" x14ac:dyDescent="0.3">
      <c r="C9" s="10">
        <f>C3*C4</f>
        <v>98600</v>
      </c>
      <c r="D9" s="10">
        <v>9860</v>
      </c>
      <c r="E9" s="10">
        <v>10860</v>
      </c>
      <c r="F9" s="10">
        <v>11860</v>
      </c>
      <c r="G9" s="10">
        <v>12860</v>
      </c>
      <c r="H9" s="10">
        <v>13860</v>
      </c>
      <c r="I9" s="13">
        <v>14860</v>
      </c>
    </row>
    <row r="10" spans="2:9" x14ac:dyDescent="0.3">
      <c r="B10" s="9" t="s">
        <v>176</v>
      </c>
      <c r="C10" s="10">
        <v>10</v>
      </c>
      <c r="D10" s="10">
        <f t="dataTable" ref="D10:I16" dt2D="1" dtr="1" r1="C3" r2="C4"/>
        <v>98600</v>
      </c>
      <c r="E10" s="10">
        <v>108600</v>
      </c>
      <c r="F10" s="10">
        <v>118600</v>
      </c>
      <c r="G10" s="10">
        <v>128600</v>
      </c>
      <c r="H10" s="10">
        <v>138600</v>
      </c>
      <c r="I10" s="10">
        <v>148600</v>
      </c>
    </row>
    <row r="11" spans="2:9" x14ac:dyDescent="0.3">
      <c r="C11" s="10">
        <v>15</v>
      </c>
      <c r="D11" s="10">
        <v>147900</v>
      </c>
      <c r="E11" s="10">
        <v>162900</v>
      </c>
      <c r="F11" s="10">
        <v>177900</v>
      </c>
      <c r="G11" s="10">
        <v>192900</v>
      </c>
      <c r="H11" s="10">
        <v>207900</v>
      </c>
      <c r="I11" s="10">
        <v>222900</v>
      </c>
    </row>
    <row r="12" spans="2:9" x14ac:dyDescent="0.3">
      <c r="C12" s="10">
        <v>20</v>
      </c>
      <c r="D12" s="10">
        <v>197200</v>
      </c>
      <c r="E12" s="10">
        <v>217200</v>
      </c>
      <c r="F12" s="10">
        <v>237200</v>
      </c>
      <c r="G12" s="10">
        <v>257200</v>
      </c>
      <c r="H12" s="10">
        <v>277200</v>
      </c>
      <c r="I12" s="10">
        <v>297200</v>
      </c>
    </row>
    <row r="13" spans="2:9" x14ac:dyDescent="0.3">
      <c r="C13" s="10">
        <v>25</v>
      </c>
      <c r="D13" s="10">
        <v>246500</v>
      </c>
      <c r="E13" s="10">
        <v>271500</v>
      </c>
      <c r="F13" s="10">
        <v>296500</v>
      </c>
      <c r="G13" s="10">
        <v>321500</v>
      </c>
      <c r="H13" s="10">
        <v>346500</v>
      </c>
      <c r="I13" s="10">
        <v>371500</v>
      </c>
    </row>
    <row r="14" spans="2:9" x14ac:dyDescent="0.3">
      <c r="C14" s="10">
        <v>30</v>
      </c>
      <c r="D14" s="10">
        <v>295800</v>
      </c>
      <c r="E14" s="10">
        <v>325800</v>
      </c>
      <c r="F14" s="10">
        <v>355800</v>
      </c>
      <c r="G14" s="10">
        <v>385800</v>
      </c>
      <c r="H14" s="10">
        <v>415800</v>
      </c>
      <c r="I14" s="10">
        <v>445800</v>
      </c>
    </row>
    <row r="15" spans="2:9" x14ac:dyDescent="0.3">
      <c r="C15" s="10">
        <v>35</v>
      </c>
      <c r="D15" s="10">
        <v>345100</v>
      </c>
      <c r="E15" s="10">
        <v>380100</v>
      </c>
      <c r="F15" s="10">
        <v>415100</v>
      </c>
      <c r="G15" s="10">
        <v>450100</v>
      </c>
      <c r="H15" s="10">
        <v>485100</v>
      </c>
      <c r="I15" s="10">
        <v>520100</v>
      </c>
    </row>
    <row r="16" spans="2:9" x14ac:dyDescent="0.3">
      <c r="C16" s="10">
        <v>40</v>
      </c>
      <c r="D16" s="10">
        <v>394400</v>
      </c>
      <c r="E16" s="10">
        <v>434400</v>
      </c>
      <c r="F16" s="10">
        <v>474400</v>
      </c>
      <c r="G16" s="10">
        <v>514400</v>
      </c>
      <c r="H16" s="10">
        <v>554400</v>
      </c>
      <c r="I16" s="10">
        <v>594400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1"/>
  <sheetViews>
    <sheetView workbookViewId="0">
      <selection sqref="A1:H1"/>
    </sheetView>
  </sheetViews>
  <sheetFormatPr defaultRowHeight="16.5" x14ac:dyDescent="0.3"/>
  <cols>
    <col min="4" max="4" width="10.875" bestFit="1" customWidth="1"/>
    <col min="5" max="5" width="11" bestFit="1" customWidth="1"/>
    <col min="6" max="6" width="11" customWidth="1"/>
    <col min="7" max="8" width="10.875" bestFit="1" customWidth="1"/>
  </cols>
  <sheetData>
    <row r="1" spans="1:8" ht="20.25" x14ac:dyDescent="0.3">
      <c r="A1" s="19" t="s">
        <v>178</v>
      </c>
      <c r="B1" s="19"/>
      <c r="C1" s="19"/>
      <c r="D1" s="19"/>
      <c r="E1" s="19"/>
      <c r="F1" s="19"/>
      <c r="G1" s="19"/>
      <c r="H1" s="19"/>
    </row>
    <row r="3" spans="1:8" x14ac:dyDescent="0.3">
      <c r="A3" s="2" t="s">
        <v>111</v>
      </c>
      <c r="B3" s="2" t="s">
        <v>113</v>
      </c>
      <c r="C3" s="2" t="s">
        <v>179</v>
      </c>
      <c r="D3" s="2" t="s">
        <v>180</v>
      </c>
      <c r="E3" s="2" t="s">
        <v>181</v>
      </c>
      <c r="F3" s="2" t="s">
        <v>182</v>
      </c>
      <c r="G3" s="2" t="s">
        <v>183</v>
      </c>
      <c r="H3" s="2" t="s">
        <v>184</v>
      </c>
    </row>
    <row r="4" spans="1:8" x14ac:dyDescent="0.3">
      <c r="A4" s="2" t="s">
        <v>185</v>
      </c>
      <c r="B4" s="2" t="s">
        <v>186</v>
      </c>
      <c r="C4" s="2">
        <v>21</v>
      </c>
      <c r="D4" s="2">
        <v>3200000</v>
      </c>
      <c r="E4" s="2">
        <v>250000</v>
      </c>
      <c r="F4" s="2">
        <v>200000</v>
      </c>
      <c r="G4" s="2">
        <f t="shared" ref="G4:G11" si="0">D4*60%</f>
        <v>1920000</v>
      </c>
      <c r="H4" s="3">
        <f>SUM(D4:G4)</f>
        <v>5570000</v>
      </c>
    </row>
    <row r="5" spans="1:8" x14ac:dyDescent="0.3">
      <c r="A5" s="2" t="s">
        <v>187</v>
      </c>
      <c r="B5" s="2" t="s">
        <v>188</v>
      </c>
      <c r="C5" s="2">
        <v>16</v>
      </c>
      <c r="D5" s="2">
        <v>2700000</v>
      </c>
      <c r="E5" s="2">
        <v>250000</v>
      </c>
      <c r="F5" s="2">
        <v>200000</v>
      </c>
      <c r="G5" s="2">
        <f t="shared" si="0"/>
        <v>1620000</v>
      </c>
      <c r="H5" s="3">
        <f t="shared" ref="H5:H11" si="1">SUM(D5:G5)</f>
        <v>4770000</v>
      </c>
    </row>
    <row r="6" spans="1:8" x14ac:dyDescent="0.3">
      <c r="A6" s="2" t="s">
        <v>189</v>
      </c>
      <c r="B6" s="2" t="s">
        <v>188</v>
      </c>
      <c r="C6" s="2">
        <v>15</v>
      </c>
      <c r="D6" s="2">
        <v>2700000</v>
      </c>
      <c r="E6" s="2">
        <v>250000</v>
      </c>
      <c r="F6" s="2">
        <v>200000</v>
      </c>
      <c r="G6" s="2">
        <f t="shared" si="0"/>
        <v>1620000</v>
      </c>
      <c r="H6" s="3">
        <f t="shared" si="1"/>
        <v>4770000</v>
      </c>
    </row>
    <row r="7" spans="1:8" x14ac:dyDescent="0.3">
      <c r="A7" s="2" t="s">
        <v>190</v>
      </c>
      <c r="B7" s="2" t="s">
        <v>191</v>
      </c>
      <c r="C7" s="2">
        <v>10</v>
      </c>
      <c r="D7" s="2">
        <v>2300000</v>
      </c>
      <c r="E7" s="2">
        <v>200000</v>
      </c>
      <c r="F7" s="2">
        <v>150000</v>
      </c>
      <c r="G7" s="2">
        <f t="shared" si="0"/>
        <v>1380000</v>
      </c>
      <c r="H7" s="3">
        <f t="shared" si="1"/>
        <v>4030000</v>
      </c>
    </row>
    <row r="8" spans="1:8" x14ac:dyDescent="0.3">
      <c r="A8" s="2" t="s">
        <v>192</v>
      </c>
      <c r="B8" s="2" t="s">
        <v>191</v>
      </c>
      <c r="C8" s="2">
        <v>8</v>
      </c>
      <c r="D8" s="2">
        <v>2100000</v>
      </c>
      <c r="E8" s="2">
        <v>200000</v>
      </c>
      <c r="F8" s="2">
        <v>150000</v>
      </c>
      <c r="G8" s="2">
        <f t="shared" si="0"/>
        <v>1260000</v>
      </c>
      <c r="H8" s="3">
        <f t="shared" si="1"/>
        <v>3710000</v>
      </c>
    </row>
    <row r="9" spans="1:8" x14ac:dyDescent="0.3">
      <c r="A9" s="2" t="s">
        <v>193</v>
      </c>
      <c r="B9" s="2" t="s">
        <v>191</v>
      </c>
      <c r="C9" s="2">
        <v>7</v>
      </c>
      <c r="D9" s="2">
        <v>2100000</v>
      </c>
      <c r="E9" s="2">
        <v>200000</v>
      </c>
      <c r="F9" s="2">
        <v>150000</v>
      </c>
      <c r="G9" s="2">
        <f t="shared" si="0"/>
        <v>1260000</v>
      </c>
      <c r="H9" s="3">
        <f t="shared" si="1"/>
        <v>3710000</v>
      </c>
    </row>
    <row r="10" spans="1:8" x14ac:dyDescent="0.3">
      <c r="A10" s="2" t="s">
        <v>194</v>
      </c>
      <c r="B10" s="2" t="s">
        <v>195</v>
      </c>
      <c r="C10" s="2">
        <v>3</v>
      </c>
      <c r="D10" s="2">
        <v>1700000</v>
      </c>
      <c r="E10" s="2">
        <v>200000</v>
      </c>
      <c r="F10" s="2">
        <v>150000</v>
      </c>
      <c r="G10" s="2">
        <f t="shared" si="0"/>
        <v>1020000</v>
      </c>
      <c r="H10" s="3">
        <f t="shared" si="1"/>
        <v>3070000</v>
      </c>
    </row>
    <row r="11" spans="1:8" x14ac:dyDescent="0.3">
      <c r="A11" s="2" t="s">
        <v>196</v>
      </c>
      <c r="B11" s="2" t="s">
        <v>195</v>
      </c>
      <c r="C11" s="2">
        <v>2</v>
      </c>
      <c r="D11" s="2">
        <v>1700000</v>
      </c>
      <c r="E11" s="2">
        <v>200000</v>
      </c>
      <c r="F11" s="2">
        <v>150000</v>
      </c>
      <c r="G11" s="2">
        <f t="shared" si="0"/>
        <v>1020000</v>
      </c>
      <c r="H11" s="3">
        <f t="shared" si="1"/>
        <v>3070000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7"/>
  <sheetViews>
    <sheetView workbookViewId="0">
      <selection sqref="A1:D1"/>
    </sheetView>
  </sheetViews>
  <sheetFormatPr defaultRowHeight="16.5" x14ac:dyDescent="0.3"/>
  <sheetData>
    <row r="1" spans="1:4" ht="20.25" x14ac:dyDescent="0.3">
      <c r="A1" s="19" t="s">
        <v>197</v>
      </c>
      <c r="B1" s="19"/>
      <c r="C1" s="19"/>
      <c r="D1" s="19"/>
    </row>
    <row r="2" spans="1:4" x14ac:dyDescent="0.3">
      <c r="A2" s="2" t="s">
        <v>201</v>
      </c>
      <c r="B2" s="2" t="s">
        <v>202</v>
      </c>
      <c r="C2" s="2" t="s">
        <v>203</v>
      </c>
      <c r="D2" s="2" t="s">
        <v>204</v>
      </c>
    </row>
    <row r="3" spans="1:4" x14ac:dyDescent="0.3">
      <c r="A3" s="2" t="s">
        <v>205</v>
      </c>
      <c r="B3" s="2">
        <v>35</v>
      </c>
      <c r="C3" s="2">
        <v>18</v>
      </c>
      <c r="D3" s="2">
        <v>31</v>
      </c>
    </row>
    <row r="4" spans="1:4" x14ac:dyDescent="0.3">
      <c r="A4" s="2" t="s">
        <v>206</v>
      </c>
      <c r="B4" s="2">
        <v>4</v>
      </c>
      <c r="C4" s="2">
        <v>24</v>
      </c>
      <c r="D4" s="2">
        <v>12</v>
      </c>
    </row>
    <row r="5" spans="1:4" x14ac:dyDescent="0.3">
      <c r="A5" s="2" t="s">
        <v>207</v>
      </c>
      <c r="B5" s="2">
        <v>9</v>
      </c>
      <c r="C5" s="2">
        <v>12</v>
      </c>
      <c r="D5" s="2">
        <v>27</v>
      </c>
    </row>
    <row r="6" spans="1:4" x14ac:dyDescent="0.3">
      <c r="A6" s="2" t="s">
        <v>208</v>
      </c>
      <c r="B6" s="2">
        <v>31</v>
      </c>
      <c r="C6" s="2">
        <v>38</v>
      </c>
      <c r="D6" s="2">
        <v>28</v>
      </c>
    </row>
    <row r="7" spans="1:4" x14ac:dyDescent="0.3">
      <c r="A7" s="2" t="s">
        <v>209</v>
      </c>
      <c r="B7" s="2">
        <v>16</v>
      </c>
      <c r="C7" s="2">
        <v>31</v>
      </c>
      <c r="D7" s="2">
        <v>9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2014-04-04T11:22:58Z</dcterms:created>
  <dcterms:modified xsi:type="dcterms:W3CDTF">2023-10-09T16:20:13Z</dcterms:modified>
</cp:coreProperties>
</file>