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3\제05회 최신기출문제\"/>
    </mc:Choice>
  </mc:AlternateContent>
  <xr:revisionPtr revIDLastSave="0" documentId="13_ncr:1_{E32AADAB-BD31-41BC-8420-3EA538C2E2F5}" xr6:coauthVersionLast="47" xr6:coauthVersionMax="47" xr10:uidLastSave="{00000000-0000-0000-0000-000000000000}"/>
  <bookViews>
    <workbookView xWindow="9570" yWindow="1155" windowWidth="15390" windowHeight="12690" xr2:uid="{00000000-000D-0000-FFFF-FFFF00000000}"/>
  </bookViews>
  <sheets>
    <sheet name="기본작업-1" sheetId="4" r:id="rId1"/>
    <sheet name="기본작업-2" sheetId="5" r:id="rId2"/>
    <sheet name="기본작업-3" sheetId="6" r:id="rId3"/>
    <sheet name="계산작업" sheetId="7" r:id="rId4"/>
    <sheet name="분석작업-1" sheetId="8" r:id="rId5"/>
    <sheet name="분석작업-2" sheetId="9" r:id="rId6"/>
    <sheet name="매크로작업" sheetId="10" r:id="rId7"/>
    <sheet name="차트작업" sheetId="11" r:id="rId8"/>
  </sheets>
  <definedNames>
    <definedName name="_xlnm._FilterDatabase" localSheetId="2" hidden="1">'기본작업-3'!$A$3:$G$16</definedName>
    <definedName name="_xlnm.Criteria" localSheetId="2">'기본작업-3'!$A$19:$B$20</definedName>
    <definedName name="_xlnm.Extract" localSheetId="2">'기본작업-3'!$A$23:$G$23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10" l="1"/>
  <c r="E9" i="10"/>
  <c r="G22" i="8"/>
  <c r="G18" i="8"/>
  <c r="G15" i="8"/>
  <c r="G8" i="8"/>
  <c r="G24" i="8" s="1"/>
  <c r="D23" i="8"/>
  <c r="D19" i="8"/>
  <c r="D16" i="8"/>
  <c r="D9" i="8"/>
  <c r="D25" i="8" s="1"/>
  <c r="G25" i="7" l="1"/>
  <c r="G26" i="7"/>
  <c r="G27" i="7"/>
  <c r="G28" i="7"/>
  <c r="G29" i="7"/>
  <c r="G24" i="7"/>
  <c r="H25" i="7" l="1"/>
  <c r="H26" i="7"/>
  <c r="H27" i="7"/>
  <c r="H28" i="7"/>
  <c r="H29" i="7"/>
  <c r="H24" i="7"/>
  <c r="K15" i="7"/>
  <c r="B20" i="7"/>
  <c r="I4" i="7"/>
  <c r="I5" i="7"/>
  <c r="I6" i="7"/>
  <c r="I7" i="7"/>
  <c r="I8" i="7"/>
  <c r="I3" i="7"/>
  <c r="D4" i="7"/>
  <c r="D5" i="7"/>
  <c r="D6" i="7"/>
  <c r="D7" i="7"/>
  <c r="D8" i="7"/>
  <c r="D3" i="7"/>
  <c r="F9" i="9" l="1"/>
  <c r="C5" i="9"/>
  <c r="D5" i="9" s="1"/>
  <c r="D4" i="9"/>
  <c r="E4" i="9" s="1"/>
  <c r="G4" i="9" s="1"/>
  <c r="G16" i="6"/>
  <c r="G15" i="6"/>
  <c r="G14" i="6"/>
  <c r="G13" i="6"/>
  <c r="G12" i="6"/>
  <c r="G11" i="6"/>
  <c r="G10" i="6"/>
  <c r="G9" i="6"/>
  <c r="G8" i="6"/>
  <c r="G7" i="6"/>
  <c r="G6" i="6"/>
  <c r="G5" i="6"/>
  <c r="G4" i="6"/>
  <c r="H4" i="9" l="1"/>
  <c r="E5" i="9"/>
  <c r="G5" i="9" s="1"/>
  <c r="C6" i="9"/>
  <c r="H5" i="9" l="1"/>
  <c r="I5" i="9" s="1"/>
  <c r="I4" i="9"/>
  <c r="D6" i="9"/>
  <c r="E6" i="9" s="1"/>
  <c r="C7" i="9"/>
  <c r="D7" i="9" l="1"/>
  <c r="E7" i="9" s="1"/>
  <c r="G7" i="9" s="1"/>
  <c r="C8" i="9"/>
  <c r="C9" i="9" s="1"/>
  <c r="G6" i="9"/>
  <c r="H6" i="9" l="1"/>
  <c r="I6" i="9" s="1"/>
  <c r="H7" i="9"/>
  <c r="I7" i="9" s="1"/>
  <c r="D8" i="9"/>
  <c r="D9" i="9" s="1"/>
  <c r="E8" i="9" l="1"/>
  <c r="G8" i="9" l="1"/>
  <c r="E9" i="9"/>
  <c r="H8" i="9" l="1"/>
  <c r="H9" i="9" s="1"/>
  <c r="G9" i="9"/>
  <c r="I8" i="9" l="1"/>
  <c r="I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F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상품별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매출액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표시</t>
        </r>
      </text>
    </comment>
  </commentList>
</comments>
</file>

<file path=xl/sharedStrings.xml><?xml version="1.0" encoding="utf-8"?>
<sst xmlns="http://schemas.openxmlformats.org/spreadsheetml/2006/main" count="356" uniqueCount="284">
  <si>
    <t>할인율</t>
  </si>
  <si>
    <t>날짜</t>
  </si>
  <si>
    <t>코드</t>
  </si>
  <si>
    <t>제품명</t>
  </si>
  <si>
    <t>구분</t>
  </si>
  <si>
    <t>제품단가</t>
  </si>
  <si>
    <t>수량</t>
  </si>
  <si>
    <t>입금금액</t>
  </si>
  <si>
    <t>수출</t>
  </si>
  <si>
    <t>은타일</t>
  </si>
  <si>
    <t>금도료</t>
  </si>
  <si>
    <t>수입</t>
  </si>
  <si>
    <t>1</t>
  </si>
  <si>
    <t>148</t>
  </si>
  <si>
    <t>2</t>
  </si>
  <si>
    <t>157</t>
  </si>
  <si>
    <t>3</t>
  </si>
  <si>
    <t>116</t>
  </si>
  <si>
    <t>4</t>
  </si>
  <si>
    <t>139</t>
  </si>
  <si>
    <t>5</t>
  </si>
  <si>
    <t>161</t>
  </si>
  <si>
    <t>6</t>
  </si>
  <si>
    <t>3번</t>
  </si>
  <si>
    <t>4번</t>
  </si>
  <si>
    <t>5번</t>
  </si>
  <si>
    <t>성명</t>
  </si>
  <si>
    <t>성별</t>
  </si>
  <si>
    <t>나이</t>
  </si>
  <si>
    <t>대출일</t>
  </si>
  <si>
    <t>반납일</t>
  </si>
  <si>
    <t>여</t>
  </si>
  <si>
    <t>813-418</t>
  </si>
  <si>
    <t>813-419</t>
  </si>
  <si>
    <t>남</t>
  </si>
  <si>
    <t>813-420</t>
  </si>
  <si>
    <t>813-421</t>
  </si>
  <si>
    <t>813-423</t>
  </si>
  <si>
    <t>813-428</t>
  </si>
  <si>
    <t>813-429</t>
  </si>
  <si>
    <t>813-430</t>
  </si>
  <si>
    <t>813-432</t>
  </si>
  <si>
    <t>일본문화</t>
  </si>
  <si>
    <t>813-434</t>
  </si>
  <si>
    <t>교양한문</t>
  </si>
  <si>
    <t xml:space="preserve">품명 </t>
  </si>
  <si>
    <t>원가</t>
  </si>
  <si>
    <t>불량률</t>
  </si>
  <si>
    <t>목표매출액</t>
  </si>
  <si>
    <t>생산비용</t>
    <phoneticPr fontId="3" type="noConversion"/>
  </si>
  <si>
    <t>사인펜</t>
    <phoneticPr fontId="3" type="noConversion"/>
  </si>
  <si>
    <t>연필깍기</t>
    <phoneticPr fontId="3" type="noConversion"/>
  </si>
  <si>
    <t>만년필</t>
    <phoneticPr fontId="3" type="noConversion"/>
  </si>
  <si>
    <t>자</t>
    <phoneticPr fontId="3" type="noConversion"/>
  </si>
  <si>
    <t>형광펜</t>
    <phoneticPr fontId="3" type="noConversion"/>
  </si>
  <si>
    <t>볼펜</t>
    <phoneticPr fontId="3" type="noConversion"/>
  </si>
  <si>
    <t>합      계</t>
    <phoneticPr fontId="3" type="noConversion"/>
  </si>
  <si>
    <t>손익계산서</t>
    <phoneticPr fontId="3" type="noConversion"/>
  </si>
  <si>
    <t>년도</t>
    <phoneticPr fontId="3" type="noConversion"/>
  </si>
  <si>
    <t>매출액</t>
    <phoneticPr fontId="3" type="noConversion"/>
  </si>
  <si>
    <t>매출원가</t>
    <phoneticPr fontId="3" type="noConversion"/>
  </si>
  <si>
    <t>매출총이익</t>
    <phoneticPr fontId="3" type="noConversion"/>
  </si>
  <si>
    <t>관리비</t>
    <phoneticPr fontId="3" type="noConversion"/>
  </si>
  <si>
    <t>영업이익</t>
    <phoneticPr fontId="3" type="noConversion"/>
  </si>
  <si>
    <t>법인세</t>
    <phoneticPr fontId="3" type="noConversion"/>
  </si>
  <si>
    <t>순이익</t>
    <phoneticPr fontId="3" type="noConversion"/>
  </si>
  <si>
    <t>2005년</t>
    <phoneticPr fontId="3" type="noConversion"/>
  </si>
  <si>
    <t>평균</t>
    <phoneticPr fontId="3" type="noConversion"/>
  </si>
  <si>
    <t>세금 적용율</t>
    <phoneticPr fontId="3" type="noConversion"/>
  </si>
  <si>
    <t>연평균 성장율</t>
    <phoneticPr fontId="3" type="noConversion"/>
  </si>
  <si>
    <t>매출 원가율</t>
    <phoneticPr fontId="3" type="noConversion"/>
  </si>
  <si>
    <t>상공문고 도서 대출 현황</t>
    <phoneticPr fontId="3" type="noConversion"/>
  </si>
  <si>
    <t>도서코드</t>
    <phoneticPr fontId="3" type="noConversion"/>
  </si>
  <si>
    <t>도서명</t>
    <phoneticPr fontId="3" type="noConversion"/>
  </si>
  <si>
    <t>출판사</t>
    <phoneticPr fontId="3" type="noConversion"/>
  </si>
  <si>
    <t>대여료</t>
    <phoneticPr fontId="3" type="noConversion"/>
  </si>
  <si>
    <t>813-416</t>
    <phoneticPr fontId="3" type="noConversion"/>
  </si>
  <si>
    <t>혼불</t>
    <phoneticPr fontId="3" type="noConversion"/>
  </si>
  <si>
    <t>한길사</t>
    <phoneticPr fontId="3" type="noConversion"/>
  </si>
  <si>
    <t>김미현</t>
    <phoneticPr fontId="3" type="noConversion"/>
  </si>
  <si>
    <t>여</t>
    <phoneticPr fontId="3" type="noConversion"/>
  </si>
  <si>
    <t>813-417</t>
    <phoneticPr fontId="3" type="noConversion"/>
  </si>
  <si>
    <t>태백산맥</t>
    <phoneticPr fontId="3" type="noConversion"/>
  </si>
  <si>
    <t>남은영</t>
    <phoneticPr fontId="3" type="noConversion"/>
  </si>
  <si>
    <t>요재지이</t>
    <phoneticPr fontId="3" type="noConversion"/>
  </si>
  <si>
    <t>대현출판사</t>
    <phoneticPr fontId="3" type="noConversion"/>
  </si>
  <si>
    <t>안국현</t>
    <phoneticPr fontId="3" type="noConversion"/>
  </si>
  <si>
    <t>남</t>
    <phoneticPr fontId="3" type="noConversion"/>
  </si>
  <si>
    <t>육조괴담</t>
    <phoneticPr fontId="3" type="noConversion"/>
  </si>
  <si>
    <t>이정철</t>
    <phoneticPr fontId="3" type="noConversion"/>
  </si>
  <si>
    <t>봉신방</t>
    <phoneticPr fontId="3" type="noConversion"/>
  </si>
  <si>
    <t>모한근</t>
    <phoneticPr fontId="3" type="noConversion"/>
  </si>
  <si>
    <t>논어</t>
    <phoneticPr fontId="3" type="noConversion"/>
  </si>
  <si>
    <t>임철훈</t>
    <phoneticPr fontId="3" type="noConversion"/>
  </si>
  <si>
    <t>대학</t>
    <phoneticPr fontId="3" type="noConversion"/>
  </si>
  <si>
    <t>박준호</t>
    <phoneticPr fontId="3" type="noConversion"/>
  </si>
  <si>
    <t>대망</t>
    <phoneticPr fontId="3" type="noConversion"/>
  </si>
  <si>
    <t>중앙출판사</t>
    <phoneticPr fontId="3" type="noConversion"/>
  </si>
  <si>
    <t>정태호</t>
    <phoneticPr fontId="3" type="noConversion"/>
  </si>
  <si>
    <t>조선왕조500년</t>
    <phoneticPr fontId="3" type="noConversion"/>
  </si>
  <si>
    <t>금성출판사</t>
    <phoneticPr fontId="3" type="noConversion"/>
  </si>
  <si>
    <t>이한길</t>
    <phoneticPr fontId="3" type="noConversion"/>
  </si>
  <si>
    <t>한국단편문학32</t>
    <phoneticPr fontId="3" type="noConversion"/>
  </si>
  <si>
    <t>소수연</t>
    <phoneticPr fontId="3" type="noConversion"/>
  </si>
  <si>
    <t>황수현</t>
    <phoneticPr fontId="3" type="noConversion"/>
  </si>
  <si>
    <t>유미연</t>
    <phoneticPr fontId="3" type="noConversion"/>
  </si>
  <si>
    <t>[표1]</t>
    <phoneticPr fontId="3" type="noConversion"/>
  </si>
  <si>
    <t>[표2]</t>
    <phoneticPr fontId="3" type="noConversion"/>
  </si>
  <si>
    <t>대한고 신입생 지원 현황</t>
    <phoneticPr fontId="3" type="noConversion"/>
  </si>
  <si>
    <t>학교코드표</t>
    <phoneticPr fontId="3" type="noConversion"/>
  </si>
  <si>
    <t>사원명</t>
    <phoneticPr fontId="3" type="noConversion"/>
  </si>
  <si>
    <t>컴퓨터일반</t>
    <phoneticPr fontId="3" type="noConversion"/>
  </si>
  <si>
    <t>워드</t>
    <phoneticPr fontId="3" type="noConversion"/>
  </si>
  <si>
    <t>합격여부</t>
    <phoneticPr fontId="3" type="noConversion"/>
  </si>
  <si>
    <t>접수번호</t>
    <phoneticPr fontId="3" type="noConversion"/>
  </si>
  <si>
    <t>성명</t>
    <phoneticPr fontId="3" type="noConversion"/>
  </si>
  <si>
    <t>등록번호</t>
    <phoneticPr fontId="3" type="noConversion"/>
  </si>
  <si>
    <t>출신학교</t>
    <phoneticPr fontId="3" type="noConversion"/>
  </si>
  <si>
    <t>학교코드</t>
    <phoneticPr fontId="3" type="noConversion"/>
  </si>
  <si>
    <t>학교명</t>
    <phoneticPr fontId="3" type="noConversion"/>
  </si>
  <si>
    <t>이지연</t>
    <phoneticPr fontId="3" type="noConversion"/>
  </si>
  <si>
    <t>김민찬</t>
    <phoneticPr fontId="3" type="noConversion"/>
  </si>
  <si>
    <t>상계중</t>
    <phoneticPr fontId="3" type="noConversion"/>
  </si>
  <si>
    <t>한가람</t>
    <phoneticPr fontId="3" type="noConversion"/>
  </si>
  <si>
    <t>홍길동</t>
    <phoneticPr fontId="3" type="noConversion"/>
  </si>
  <si>
    <t>동호중</t>
    <phoneticPr fontId="3" type="noConversion"/>
  </si>
  <si>
    <t>오두영</t>
    <phoneticPr fontId="3" type="noConversion"/>
  </si>
  <si>
    <t>안국현</t>
    <phoneticPr fontId="3" type="noConversion"/>
  </si>
  <si>
    <t>명성중</t>
    <phoneticPr fontId="3" type="noConversion"/>
  </si>
  <si>
    <t>안치연</t>
    <phoneticPr fontId="3" type="noConversion"/>
  </si>
  <si>
    <t>도지원</t>
    <phoneticPr fontId="3" type="noConversion"/>
  </si>
  <si>
    <t>성동여중</t>
    <phoneticPr fontId="3" type="noConversion"/>
  </si>
  <si>
    <t>명기영</t>
    <phoneticPr fontId="3" type="noConversion"/>
  </si>
  <si>
    <t>박수영</t>
    <phoneticPr fontId="3" type="noConversion"/>
  </si>
  <si>
    <t>상공중</t>
    <phoneticPr fontId="3" type="noConversion"/>
  </si>
  <si>
    <t>나미인</t>
    <phoneticPr fontId="3" type="noConversion"/>
  </si>
  <si>
    <t>이덕철</t>
    <phoneticPr fontId="3" type="noConversion"/>
  </si>
  <si>
    <t>대한중</t>
    <phoneticPr fontId="3" type="noConversion"/>
  </si>
  <si>
    <t>[표3]</t>
    <phoneticPr fontId="3" type="noConversion"/>
  </si>
  <si>
    <t xml:space="preserve">[표4] </t>
    <phoneticPr fontId="3" type="noConversion"/>
  </si>
  <si>
    <t>사원별 판매실적</t>
    <phoneticPr fontId="3" type="noConversion"/>
  </si>
  <si>
    <t>사원명</t>
    <phoneticPr fontId="3" type="noConversion"/>
  </si>
  <si>
    <t>소속지점</t>
    <phoneticPr fontId="3" type="noConversion"/>
  </si>
  <si>
    <t>판매량</t>
    <phoneticPr fontId="3" type="noConversion"/>
  </si>
  <si>
    <t>판매금액</t>
    <phoneticPr fontId="3" type="noConversion"/>
  </si>
  <si>
    <t>성명</t>
    <phoneticPr fontId="3" type="noConversion"/>
  </si>
  <si>
    <t>지점</t>
    <phoneticPr fontId="3" type="noConversion"/>
  </si>
  <si>
    <t>정기영</t>
    <phoneticPr fontId="3" type="noConversion"/>
  </si>
  <si>
    <t>북부</t>
    <phoneticPr fontId="3" type="noConversion"/>
  </si>
  <si>
    <t>임주영</t>
    <phoneticPr fontId="3" type="noConversion"/>
  </si>
  <si>
    <t>대전</t>
    <phoneticPr fontId="3" type="noConversion"/>
  </si>
  <si>
    <t>장금이</t>
    <phoneticPr fontId="3" type="noConversion"/>
  </si>
  <si>
    <t>남부</t>
    <phoneticPr fontId="3" type="noConversion"/>
  </si>
  <si>
    <t>김남주</t>
    <phoneticPr fontId="3" type="noConversion"/>
  </si>
  <si>
    <t>서울</t>
    <phoneticPr fontId="3" type="noConversion"/>
  </si>
  <si>
    <t>박태훈</t>
    <phoneticPr fontId="3" type="noConversion"/>
  </si>
  <si>
    <t>박수홍</t>
    <phoneticPr fontId="3" type="noConversion"/>
  </si>
  <si>
    <t>대구</t>
    <phoneticPr fontId="3" type="noConversion"/>
  </si>
  <si>
    <t>태구영</t>
    <phoneticPr fontId="3" type="noConversion"/>
  </si>
  <si>
    <t>피형인</t>
    <phoneticPr fontId="3" type="noConversion"/>
  </si>
  <si>
    <t>우지원</t>
    <phoneticPr fontId="3" type="noConversion"/>
  </si>
  <si>
    <t>우태형</t>
    <phoneticPr fontId="3" type="noConversion"/>
  </si>
  <si>
    <t>부산</t>
    <phoneticPr fontId="3" type="noConversion"/>
  </si>
  <si>
    <t>여혜경</t>
    <phoneticPr fontId="3" type="noConversion"/>
  </si>
  <si>
    <t>송아리</t>
    <phoneticPr fontId="3" type="noConversion"/>
  </si>
  <si>
    <t>유미나</t>
    <phoneticPr fontId="3" type="noConversion"/>
  </si>
  <si>
    <t>장인영</t>
    <phoneticPr fontId="3" type="noConversion"/>
  </si>
  <si>
    <t xml:space="preserve">북부지점 평균 </t>
    <phoneticPr fontId="3" type="noConversion"/>
  </si>
  <si>
    <t>류나연</t>
    <phoneticPr fontId="3" type="noConversion"/>
  </si>
  <si>
    <t>광주</t>
    <phoneticPr fontId="3" type="noConversion"/>
  </si>
  <si>
    <t xml:space="preserve">[표5] </t>
    <phoneticPr fontId="3" type="noConversion"/>
  </si>
  <si>
    <t>정보올림피아드 대회 결과</t>
    <phoneticPr fontId="3" type="noConversion"/>
  </si>
  <si>
    <t>1번</t>
    <phoneticPr fontId="3" type="noConversion"/>
  </si>
  <si>
    <t>2번</t>
    <phoneticPr fontId="3" type="noConversion"/>
  </si>
  <si>
    <t>총점</t>
    <phoneticPr fontId="3" type="noConversion"/>
  </si>
  <si>
    <t>등급</t>
    <phoneticPr fontId="3" type="noConversion"/>
  </si>
  <si>
    <t>오지명</t>
    <phoneticPr fontId="3" type="noConversion"/>
  </si>
  <si>
    <t>박인영</t>
    <phoneticPr fontId="3" type="noConversion"/>
  </si>
  <si>
    <t>추정미</t>
    <phoneticPr fontId="3" type="noConversion"/>
  </si>
  <si>
    <t>최성오</t>
    <phoneticPr fontId="3" type="noConversion"/>
  </si>
  <si>
    <t>정오철</t>
    <phoneticPr fontId="3" type="noConversion"/>
  </si>
  <si>
    <t>김민태</t>
    <phoneticPr fontId="3" type="noConversion"/>
  </si>
  <si>
    <t>세공품 수출입 현황</t>
    <phoneticPr fontId="3" type="noConversion"/>
  </si>
  <si>
    <t>S200</t>
    <phoneticPr fontId="3" type="noConversion"/>
  </si>
  <si>
    <t>은타일</t>
    <phoneticPr fontId="3" type="noConversion"/>
  </si>
  <si>
    <t>수입</t>
    <phoneticPr fontId="3" type="noConversion"/>
  </si>
  <si>
    <t>C100</t>
    <phoneticPr fontId="3" type="noConversion"/>
  </si>
  <si>
    <t>세공품</t>
    <phoneticPr fontId="3" type="noConversion"/>
  </si>
  <si>
    <t>수출</t>
    <phoneticPr fontId="3" type="noConversion"/>
  </si>
  <si>
    <t>수입</t>
    <phoneticPr fontId="3" type="noConversion"/>
  </si>
  <si>
    <t>G111</t>
    <phoneticPr fontId="3" type="noConversion"/>
  </si>
  <si>
    <t>G111</t>
    <phoneticPr fontId="3" type="noConversion"/>
  </si>
  <si>
    <t>금도료</t>
    <phoneticPr fontId="3" type="noConversion"/>
  </si>
  <si>
    <t>S200</t>
    <phoneticPr fontId="3" type="noConversion"/>
  </si>
  <si>
    <t>금도료</t>
    <phoneticPr fontId="3" type="noConversion"/>
  </si>
  <si>
    <t>S200</t>
    <phoneticPr fontId="3" type="noConversion"/>
  </si>
  <si>
    <t>은타일</t>
    <phoneticPr fontId="3" type="noConversion"/>
  </si>
  <si>
    <t>하반기 생활용품 판매 현황</t>
    <phoneticPr fontId="3" type="noConversion"/>
  </si>
  <si>
    <t>상품명</t>
    <phoneticPr fontId="3" type="noConversion"/>
  </si>
  <si>
    <t>단가</t>
    <phoneticPr fontId="3" type="noConversion"/>
  </si>
  <si>
    <t>목표수량</t>
    <phoneticPr fontId="3" type="noConversion"/>
  </si>
  <si>
    <t>판매수량</t>
    <phoneticPr fontId="3" type="noConversion"/>
  </si>
  <si>
    <t>실판매금액</t>
    <phoneticPr fontId="3" type="noConversion"/>
  </si>
  <si>
    <t>뜸질기</t>
    <phoneticPr fontId="3" type="noConversion"/>
  </si>
  <si>
    <t>보플제거기</t>
    <phoneticPr fontId="3" type="noConversion"/>
  </si>
  <si>
    <t>생옥 찜질팩</t>
    <phoneticPr fontId="3" type="noConversion"/>
  </si>
  <si>
    <t>황토팩</t>
    <phoneticPr fontId="3" type="noConversion"/>
  </si>
  <si>
    <t>싹쓸이 청소기</t>
    <phoneticPr fontId="3" type="noConversion"/>
  </si>
  <si>
    <t>전기장판</t>
    <phoneticPr fontId="3" type="noConversion"/>
  </si>
  <si>
    <t>범랑냄비</t>
    <phoneticPr fontId="3" type="noConversion"/>
  </si>
  <si>
    <t>슬로쿠커</t>
    <phoneticPr fontId="3" type="noConversion"/>
  </si>
  <si>
    <t>합계</t>
    <phoneticPr fontId="3" type="noConversion"/>
  </si>
  <si>
    <t xml:space="preserve">교육용 소프트웨어 목록 </t>
    <phoneticPr fontId="3" type="noConversion"/>
  </si>
  <si>
    <r>
      <t>2</t>
    </r>
    <r>
      <rPr>
        <sz val="11"/>
        <color theme="1"/>
        <rFont val="맑은 고딕"/>
        <family val="3"/>
        <charset val="129"/>
      </rPr>
      <t>006년</t>
    </r>
    <phoneticPr fontId="3" type="noConversion"/>
  </si>
  <si>
    <r>
      <t>2</t>
    </r>
    <r>
      <rPr>
        <sz val="11"/>
        <color theme="1"/>
        <rFont val="맑은 고딕"/>
        <family val="3"/>
        <charset val="129"/>
      </rPr>
      <t>007년</t>
    </r>
    <phoneticPr fontId="3" type="noConversion"/>
  </si>
  <si>
    <r>
      <t>2</t>
    </r>
    <r>
      <rPr>
        <sz val="11"/>
        <color theme="1"/>
        <rFont val="맑은 고딕"/>
        <family val="3"/>
        <charset val="129"/>
      </rPr>
      <t>008년</t>
    </r>
    <phoneticPr fontId="3" type="noConversion"/>
  </si>
  <si>
    <r>
      <t>2</t>
    </r>
    <r>
      <rPr>
        <sz val="11"/>
        <color theme="1"/>
        <rFont val="맑은 고딕"/>
        <family val="3"/>
        <charset val="129"/>
      </rPr>
      <t>009년</t>
    </r>
    <phoneticPr fontId="3" type="noConversion"/>
  </si>
  <si>
    <t>(쌀생산량:천M/T)</t>
    <phoneticPr fontId="3" type="noConversion"/>
  </si>
  <si>
    <t>(1인당소비량:Kg)</t>
    <phoneticPr fontId="3" type="noConversion"/>
  </si>
  <si>
    <t>구분</t>
    <phoneticPr fontId="3" type="noConversion"/>
  </si>
  <si>
    <t>2000년</t>
    <phoneticPr fontId="3" type="noConversion"/>
  </si>
  <si>
    <t>2010년</t>
    <phoneticPr fontId="3" type="noConversion"/>
  </si>
  <si>
    <t>쌀생산량</t>
    <phoneticPr fontId="3" type="noConversion"/>
  </si>
  <si>
    <t>1인당 소비량</t>
    <phoneticPr fontId="3" type="noConversion"/>
  </si>
  <si>
    <t>[표1] 12월 문구 생산 현황</t>
    <phoneticPr fontId="3" type="noConversion"/>
  </si>
  <si>
    <t>사원 현황</t>
    <phoneticPr fontId="3" type="noConversion"/>
  </si>
  <si>
    <t>영업실적 현황</t>
    <phoneticPr fontId="3" type="noConversion"/>
  </si>
  <si>
    <t>123</t>
    <phoneticPr fontId="2" type="noConversion"/>
  </si>
  <si>
    <t>2020년</t>
    <phoneticPr fontId="3" type="noConversion"/>
  </si>
  <si>
    <t>2015년</t>
    <phoneticPr fontId="3" type="noConversion"/>
  </si>
  <si>
    <t>코드번호</t>
    <phoneticPr fontId="3" type="noConversion"/>
  </si>
  <si>
    <t>S/W명</t>
    <phoneticPr fontId="3" type="noConversion"/>
  </si>
  <si>
    <t>개발회사</t>
    <phoneticPr fontId="3" type="noConversion"/>
  </si>
  <si>
    <t>사용환경</t>
    <phoneticPr fontId="3" type="noConversion"/>
  </si>
  <si>
    <t>구입가격</t>
    <phoneticPr fontId="3" type="noConversion"/>
  </si>
  <si>
    <t>구입처</t>
    <phoneticPr fontId="3" type="noConversion"/>
  </si>
  <si>
    <t>S-JA-01</t>
    <phoneticPr fontId="3" type="noConversion"/>
  </si>
  <si>
    <t>한국의 자연</t>
    <phoneticPr fontId="3" type="noConversion"/>
  </si>
  <si>
    <t>아카데미</t>
    <phoneticPr fontId="3" type="noConversion"/>
  </si>
  <si>
    <t>대한소프트</t>
    <phoneticPr fontId="3" type="noConversion"/>
  </si>
  <si>
    <t>S-SA-10</t>
    <phoneticPr fontId="3" type="noConversion"/>
  </si>
  <si>
    <t>GAMMA 사진 화보집</t>
    <phoneticPr fontId="3" type="noConversion"/>
  </si>
  <si>
    <t>오넥스시스템</t>
    <phoneticPr fontId="3" type="noConversion"/>
  </si>
  <si>
    <t>상공문고</t>
    <phoneticPr fontId="3" type="noConversion"/>
  </si>
  <si>
    <t>S-MU-90</t>
    <phoneticPr fontId="3" type="noConversion"/>
  </si>
  <si>
    <t>NEW 음악 이양기</t>
    <phoneticPr fontId="3" type="noConversion"/>
  </si>
  <si>
    <t>상공미디어</t>
    <phoneticPr fontId="3" type="noConversion"/>
  </si>
  <si>
    <t>케이소프트</t>
    <phoneticPr fontId="3" type="noConversion"/>
  </si>
  <si>
    <t>S-TR-84</t>
    <phoneticPr fontId="3" type="noConversion"/>
  </si>
  <si>
    <t>시베리아 횡단열차</t>
    <phoneticPr fontId="3" type="noConversion"/>
  </si>
  <si>
    <t>채널미디어</t>
    <phoneticPr fontId="3" type="noConversion"/>
  </si>
  <si>
    <t>한국상사</t>
    <phoneticPr fontId="3" type="noConversion"/>
  </si>
  <si>
    <t>S-JA-32</t>
    <phoneticPr fontId="3" type="noConversion"/>
  </si>
  <si>
    <t>오지의 세계</t>
    <phoneticPr fontId="3" type="noConversion"/>
  </si>
  <si>
    <t>SoftLand</t>
    <phoneticPr fontId="3" type="noConversion"/>
  </si>
  <si>
    <t>DVD롬, 플레이어</t>
    <phoneticPr fontId="3" type="noConversion"/>
  </si>
  <si>
    <t>한글자랑</t>
    <phoneticPr fontId="3" type="noConversion"/>
  </si>
  <si>
    <t>S-SA-17</t>
    <phoneticPr fontId="3" type="noConversion"/>
  </si>
  <si>
    <t>문화의 향기</t>
    <phoneticPr fontId="3" type="noConversion"/>
  </si>
  <si>
    <t>SG문화재단</t>
    <phoneticPr fontId="3" type="noConversion"/>
  </si>
  <si>
    <t>S-SE-39</t>
    <phoneticPr fontId="3" type="noConversion"/>
  </si>
  <si>
    <t>한국의 바다</t>
    <phoneticPr fontId="3" type="noConversion"/>
  </si>
  <si>
    <t>상공Pride&amp;Soft</t>
    <phoneticPr fontId="3" type="noConversion"/>
  </si>
  <si>
    <t>Windows 10 이상</t>
    <phoneticPr fontId="3" type="noConversion"/>
  </si>
  <si>
    <t>Linux 9 이상</t>
    <phoneticPr fontId="3" type="noConversion"/>
  </si>
  <si>
    <t>매킨토시 7.5 이상</t>
    <phoneticPr fontId="3" type="noConversion"/>
  </si>
  <si>
    <t>입금금액</t>
    <phoneticPr fontId="2" type="noConversion"/>
  </si>
  <si>
    <t>&gt;=550000</t>
    <phoneticPr fontId="2" type="noConversion"/>
  </si>
  <si>
    <t>구분</t>
    <phoneticPr fontId="2" type="noConversion"/>
  </si>
  <si>
    <t>수출</t>
    <phoneticPr fontId="2" type="noConversion"/>
  </si>
  <si>
    <t>금성출판사 요약</t>
  </si>
  <si>
    <t>대현출판사 요약</t>
  </si>
  <si>
    <t>중앙출판사 요약</t>
  </si>
  <si>
    <t>한길사 요약</t>
  </si>
  <si>
    <t>총합계</t>
  </si>
  <si>
    <t>전체 최소값</t>
  </si>
  <si>
    <t>쌀생산량 및 1인당 소비량 변화</t>
    <phoneticPr fontId="3" type="noConversion"/>
  </si>
  <si>
    <t>코란도</t>
    <phoneticPr fontId="3" type="noConversion"/>
  </si>
  <si>
    <t>K8</t>
    <phoneticPr fontId="3" type="noConversion"/>
  </si>
  <si>
    <t>K8 총 판매 대수</t>
    <phoneticPr fontId="3" type="noConversion"/>
  </si>
  <si>
    <t>금성출판사 최소</t>
  </si>
  <si>
    <t>대현출판사 최소</t>
  </si>
  <si>
    <t>중앙출판사 최소</t>
  </si>
  <si>
    <t>한길사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</si>
</sst>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#,##0_);[Red]\(#,##0\)"/>
    <numFmt numFmtId="177" formatCode="yyyy&quot;년&quot;\ m&quot;월&quot;\ d&quot;일&quot;"/>
    <numFmt numFmtId="178" formatCode="#,##0_ "/>
    <numFmt numFmtId="179" formatCode="#,##0.0_ "/>
    <numFmt numFmtId="180" formatCode="&quot;₩&quot;#,##0_);[Red]\(&quot;₩&quot;#,##0\)"/>
    <numFmt numFmtId="181" formatCode="yyyy&quot;年&quot;\ mm&quot;月 현재&quot;"/>
  </numFmts>
  <fonts count="1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name val="맑은 고딕"/>
      <family val="3"/>
      <charset val="129"/>
    </font>
    <font>
      <b/>
      <sz val="16"/>
      <name val="맑은 고딕"/>
      <family val="3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indexed="8"/>
      <name val="맑은 고딕"/>
      <family val="3"/>
      <charset val="129"/>
    </font>
    <font>
      <b/>
      <u val="double"/>
      <sz val="18"/>
      <color theme="1"/>
      <name val="굴림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8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42" fontId="1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7" fillId="0" borderId="0" xfId="1" applyFont="1" applyAlignment="1">
      <alignment vertical="center"/>
    </xf>
    <xf numFmtId="0" fontId="5" fillId="0" borderId="1" xfId="1" applyFont="1" applyBorder="1" applyAlignment="1">
      <alignment horizontal="center" vertical="center"/>
    </xf>
    <xf numFmtId="41" fontId="5" fillId="0" borderId="1" xfId="3" applyFont="1" applyBorder="1" applyAlignment="1">
      <alignment vertical="center"/>
    </xf>
    <xf numFmtId="41" fontId="5" fillId="0" borderId="1" xfId="1" applyNumberFormat="1" applyFont="1" applyBorder="1" applyAlignment="1">
      <alignment vertical="center"/>
    </xf>
    <xf numFmtId="178" fontId="5" fillId="0" borderId="1" xfId="6" applyNumberFormat="1" applyFont="1" applyBorder="1" applyAlignment="1">
      <alignment vertical="center"/>
    </xf>
    <xf numFmtId="9" fontId="5" fillId="0" borderId="3" xfId="1" applyNumberFormat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horizontal="center" vertical="center"/>
    </xf>
    <xf numFmtId="178" fontId="5" fillId="0" borderId="1" xfId="1" applyNumberFormat="1" applyFont="1" applyBorder="1" applyAlignment="1">
      <alignment horizontal="center" vertical="center"/>
    </xf>
    <xf numFmtId="179" fontId="5" fillId="0" borderId="1" xfId="1" applyNumberFormat="1" applyFont="1" applyBorder="1" applyAlignment="1">
      <alignment horizontal="center" vertical="center"/>
    </xf>
    <xf numFmtId="41" fontId="5" fillId="0" borderId="1" xfId="3" applyFont="1" applyFill="1" applyBorder="1" applyAlignment="1">
      <alignment horizontal="center" vertical="center"/>
    </xf>
    <xf numFmtId="41" fontId="5" fillId="0" borderId="1" xfId="1" applyNumberFormat="1" applyFont="1" applyBorder="1" applyAlignment="1">
      <alignment horizontal="center" vertical="center"/>
    </xf>
    <xf numFmtId="9" fontId="5" fillId="0" borderId="1" xfId="2" applyFont="1" applyBorder="1" applyAlignment="1">
      <alignment horizontal="center" vertical="center"/>
    </xf>
    <xf numFmtId="9" fontId="5" fillId="0" borderId="4" xfId="2" applyFont="1" applyBorder="1" applyAlignment="1">
      <alignment horizontal="center" vertical="center"/>
    </xf>
    <xf numFmtId="0" fontId="10" fillId="0" borderId="1" xfId="4" applyFont="1" applyBorder="1" applyAlignment="1">
      <alignment horizontal="center" vertical="center"/>
    </xf>
    <xf numFmtId="0" fontId="10" fillId="0" borderId="1" xfId="5" applyFont="1" applyBorder="1" applyAlignment="1">
      <alignment horizontal="center" vertical="center"/>
    </xf>
    <xf numFmtId="41" fontId="10" fillId="0" borderId="1" xfId="3" applyFont="1" applyFill="1" applyBorder="1" applyAlignment="1">
      <alignment horizontal="right" vertical="center"/>
    </xf>
    <xf numFmtId="0" fontId="5" fillId="2" borderId="1" xfId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5" fillId="0" borderId="0" xfId="1" applyFont="1" applyAlignment="1">
      <alignment horizontal="left" vertical="center"/>
    </xf>
    <xf numFmtId="41" fontId="8" fillId="0" borderId="1" xfId="3" applyFont="1" applyBorder="1" applyAlignment="1">
      <alignment horizontal="right" vertical="center"/>
    </xf>
    <xf numFmtId="14" fontId="5" fillId="0" borderId="1" xfId="1" applyNumberFormat="1" applyFont="1" applyBorder="1" applyAlignment="1">
      <alignment horizontal="center" vertical="center"/>
    </xf>
    <xf numFmtId="176" fontId="5" fillId="0" borderId="1" xfId="1" applyNumberFormat="1" applyFont="1" applyBorder="1" applyAlignment="1">
      <alignment horizontal="center" vertical="center"/>
    </xf>
    <xf numFmtId="49" fontId="5" fillId="0" borderId="1" xfId="1" quotePrefix="1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41" fontId="10" fillId="0" borderId="0" xfId="3" applyFont="1" applyFill="1" applyBorder="1" applyAlignment="1">
      <alignment horizontal="right" vertical="center"/>
    </xf>
    <xf numFmtId="9" fontId="5" fillId="0" borderId="1" xfId="7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0" fillId="0" borderId="1" xfId="0" applyBorder="1">
      <alignment vertical="center"/>
    </xf>
    <xf numFmtId="180" fontId="0" fillId="0" borderId="1" xfId="0" applyNumberFormat="1" applyBorder="1">
      <alignment vertical="center"/>
    </xf>
    <xf numFmtId="9" fontId="0" fillId="0" borderId="1" xfId="7" applyFont="1" applyBorder="1">
      <alignment vertical="center"/>
    </xf>
    <xf numFmtId="0" fontId="0" fillId="0" borderId="8" xfId="0" applyBorder="1">
      <alignment vertical="center"/>
    </xf>
    <xf numFmtId="0" fontId="15" fillId="0" borderId="0" xfId="0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77" fontId="5" fillId="0" borderId="0" xfId="1" applyNumberFormat="1" applyFont="1" applyAlignment="1">
      <alignment horizontal="center" vertical="center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10" fillId="0" borderId="0" xfId="4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58" fontId="0" fillId="0" borderId="0" xfId="0" applyNumberFormat="1" applyBorder="1" applyAlignment="1">
      <alignment horizontal="center" vertical="center"/>
    </xf>
    <xf numFmtId="0" fontId="14" fillId="0" borderId="0" xfId="4" applyFont="1" applyBorder="1" applyAlignment="1">
      <alignment horizontal="center" vertical="center"/>
    </xf>
  </cellXfs>
  <cellStyles count="8">
    <cellStyle name="백분율" xfId="7" builtinId="5"/>
    <cellStyle name="백분율 2" xfId="2" xr:uid="{00000000-0005-0000-0000-000001000000}"/>
    <cellStyle name="쉼표 [0] 2" xfId="3" xr:uid="{00000000-0005-0000-0000-000002000000}"/>
    <cellStyle name="통화 [0] 2" xfId="6" xr:uid="{00000000-0005-0000-0000-000003000000}"/>
    <cellStyle name="표준" xfId="0" builtinId="0"/>
    <cellStyle name="표준 2" xfId="1" xr:uid="{00000000-0005-0000-0000-000005000000}"/>
    <cellStyle name="표준_Sheet3" xfId="5" xr:uid="{00000000-0005-0000-0000-000006000000}"/>
    <cellStyle name="표준_건물임대" xfId="4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u="sng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600" u="sng">
                <a:latin typeface="궁서체" panose="02030609000101010101" pitchFamily="17" charset="-127"/>
                <a:ea typeface="궁서체" panose="02030609000101010101" pitchFamily="17" charset="-127"/>
              </a:rPr>
              <a:t>쌀생산량 및 </a:t>
            </a:r>
            <a:r>
              <a:rPr lang="en-US" altLang="ko-KR" sz="1600" u="sng">
                <a:latin typeface="궁서체" panose="02030609000101010101" pitchFamily="17" charset="-127"/>
                <a:ea typeface="궁서체" panose="02030609000101010101" pitchFamily="17" charset="-127"/>
              </a:rPr>
              <a:t>1</a:t>
            </a:r>
            <a:r>
              <a:rPr lang="ko-KR" altLang="en-US" sz="1600" u="sng">
                <a:latin typeface="궁서체" panose="02030609000101010101" pitchFamily="17" charset="-127"/>
                <a:ea typeface="궁서체" panose="02030609000101010101" pitchFamily="17" charset="-127"/>
              </a:rPr>
              <a:t>인당 소비량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쌀생산량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차트작업!$B$3:$F$3</c15:sqref>
                  </c15:fullRef>
                </c:ext>
              </c:extLst>
              <c:f>차트작업!$C$3:$F$3</c:f>
              <c:strCache>
                <c:ptCount val="4"/>
                <c:pt idx="0">
                  <c:v>2005년</c:v>
                </c:pt>
                <c:pt idx="1">
                  <c:v>2010년</c:v>
                </c:pt>
                <c:pt idx="2">
                  <c:v>2015년</c:v>
                </c:pt>
                <c:pt idx="3">
                  <c:v>2020년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차트작업!$B$4:$F$4</c15:sqref>
                  </c15:fullRef>
                </c:ext>
              </c:extLst>
              <c:f>차트작업!$C$4:$F$4</c:f>
              <c:numCache>
                <c:formatCode>#,##0_ </c:formatCode>
                <c:ptCount val="4"/>
                <c:pt idx="0">
                  <c:v>5626</c:v>
                </c:pt>
                <c:pt idx="1">
                  <c:v>5606</c:v>
                </c:pt>
                <c:pt idx="2">
                  <c:v>4695</c:v>
                </c:pt>
                <c:pt idx="3">
                  <c:v>5291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차트작업!$B$4</c15:sqref>
                  <c15:dLbl>
                    <c:idx val="-1"/>
                    <c:dLblPos val="outEnd"/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D203-4E70-B573-C6E9D844FC04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C52F-4468-BC91-B1F0D5F3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309312"/>
        <c:axId val="107111552"/>
      </c:barChart>
      <c:lineChart>
        <c:grouping val="standard"/>
        <c:varyColors val="0"/>
        <c:ser>
          <c:idx val="1"/>
          <c:order val="1"/>
          <c:tx>
            <c:strRef>
              <c:f>차트작업!$A$5</c:f>
              <c:strCache>
                <c:ptCount val="1"/>
                <c:pt idx="0">
                  <c:v>1인당 소비량</c:v>
                </c:pt>
              </c:strCache>
            </c:strRef>
          </c:tx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차트작업!$B$3:$F$3</c15:sqref>
                  </c15:fullRef>
                </c:ext>
              </c:extLst>
              <c:f>차트작업!$C$3:$F$3</c:f>
              <c:strCache>
                <c:ptCount val="4"/>
                <c:pt idx="0">
                  <c:v>2005년</c:v>
                </c:pt>
                <c:pt idx="1">
                  <c:v>2010년</c:v>
                </c:pt>
                <c:pt idx="2">
                  <c:v>2015년</c:v>
                </c:pt>
                <c:pt idx="3">
                  <c:v>2020년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차트작업!$B$5:$F$5</c15:sqref>
                  </c15:fullRef>
                </c:ext>
              </c:extLst>
              <c:f>차트작업!$C$5:$F$5</c:f>
              <c:numCache>
                <c:formatCode>#,##0.0_ </c:formatCode>
                <c:ptCount val="4"/>
                <c:pt idx="0">
                  <c:v>128.1</c:v>
                </c:pt>
                <c:pt idx="1">
                  <c:v>119.6</c:v>
                </c:pt>
                <c:pt idx="2">
                  <c:v>106.5</c:v>
                </c:pt>
                <c:pt idx="3">
                  <c:v>88.9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2F-4468-BC91-B1F0D5F3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2200911"/>
        <c:axId val="1752200495"/>
      </c:lineChart>
      <c:catAx>
        <c:axId val="1093093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7111552"/>
        <c:crosses val="autoZero"/>
        <c:auto val="1"/>
        <c:lblAlgn val="ctr"/>
        <c:lblOffset val="100"/>
        <c:noMultiLvlLbl val="0"/>
      </c:catAx>
      <c:valAx>
        <c:axId val="107111552"/>
        <c:scaling>
          <c:orientation val="minMax"/>
        </c:scaling>
        <c:delete val="0"/>
        <c:axPos val="l"/>
        <c:majorGridlines/>
        <c:numFmt formatCode="#,##0_ " sourceLinked="1"/>
        <c:majorTickMark val="out"/>
        <c:minorTickMark val="none"/>
        <c:tickLblPos val="nextTo"/>
        <c:crossAx val="109309312"/>
        <c:crosses val="autoZero"/>
        <c:crossBetween val="between"/>
      </c:valAx>
      <c:valAx>
        <c:axId val="1752200495"/>
        <c:scaling>
          <c:orientation val="minMax"/>
        </c:scaling>
        <c:delete val="0"/>
        <c:axPos val="r"/>
        <c:numFmt formatCode="#,##0.0_ " sourceLinked="1"/>
        <c:majorTickMark val="out"/>
        <c:minorTickMark val="none"/>
        <c:tickLblPos val="nextTo"/>
        <c:crossAx val="1752200911"/>
        <c:crosses val="max"/>
        <c:crossBetween val="between"/>
      </c:valAx>
      <c:catAx>
        <c:axId val="1752200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2200495"/>
        <c:crosses val="autoZero"/>
        <c:auto val="1"/>
        <c:lblAlgn val="ctr"/>
        <c:lblOffset val="100"/>
        <c:noMultiLvlLbl val="0"/>
      </c:catAx>
    </c:plotArea>
    <c:legend>
      <c:legendPos val="t"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6</xdr:row>
      <xdr:rowOff>0</xdr:rowOff>
    </xdr:to>
    <xdr:sp macro="[0]!합계" textlink="">
      <xdr:nvSpPr>
        <xdr:cNvPr id="4" name="하트 1">
          <a:extLst>
            <a:ext uri="{FF2B5EF4-FFF2-40B4-BE49-F238E27FC236}">
              <a16:creationId xmlns:a16="http://schemas.microsoft.com/office/drawing/2014/main" id="{4FCEA5DE-E210-2766-9B0B-8C0BFB7137BB}"/>
            </a:ext>
          </a:extLst>
        </xdr:cNvPr>
        <xdr:cNvSpPr/>
      </xdr:nvSpPr>
      <xdr:spPr>
        <a:xfrm>
          <a:off x="6800850" y="419100"/>
          <a:ext cx="809625" cy="838200"/>
        </a:xfrm>
        <a:prstGeom prst="hear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합계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[0]!백분율" textlink="">
      <xdr:nvSpPr>
        <xdr:cNvPr id="5" name="직사각형 1">
          <a:extLst>
            <a:ext uri="{FF2B5EF4-FFF2-40B4-BE49-F238E27FC236}">
              <a16:creationId xmlns:a16="http://schemas.microsoft.com/office/drawing/2014/main" id="{8071A929-1E0F-97FE-3567-29D17F4E506D}"/>
            </a:ext>
          </a:extLst>
        </xdr:cNvPr>
        <xdr:cNvSpPr/>
      </xdr:nvSpPr>
      <xdr:spPr>
        <a:xfrm>
          <a:off x="6800850" y="1466850"/>
          <a:ext cx="809625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백분율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1" max="1" width="10.875" style="7" customWidth="1"/>
    <col min="2" max="2" width="19.5" style="7" bestFit="1" customWidth="1"/>
    <col min="3" max="3" width="14.25" style="7" bestFit="1" customWidth="1"/>
    <col min="4" max="4" width="17" style="7" bestFit="1" customWidth="1"/>
    <col min="5" max="5" width="9.25" style="7" bestFit="1" customWidth="1"/>
    <col min="6" max="6" width="11.75" style="7" bestFit="1" customWidth="1"/>
    <col min="7" max="16384" width="9" style="7"/>
  </cols>
  <sheetData>
    <row r="1" spans="1:6">
      <c r="A1" s="7" t="s">
        <v>212</v>
      </c>
    </row>
    <row r="3" spans="1:6">
      <c r="A3" s="7" t="s">
        <v>230</v>
      </c>
      <c r="B3" s="7" t="s">
        <v>231</v>
      </c>
      <c r="C3" s="7" t="s">
        <v>232</v>
      </c>
      <c r="D3" s="7" t="s">
        <v>233</v>
      </c>
      <c r="E3" s="7" t="s">
        <v>234</v>
      </c>
      <c r="F3" s="7" t="s">
        <v>235</v>
      </c>
    </row>
    <row r="4" spans="1:6">
      <c r="A4" s="7" t="s">
        <v>236</v>
      </c>
      <c r="B4" s="7" t="s">
        <v>237</v>
      </c>
      <c r="C4" s="7" t="s">
        <v>238</v>
      </c>
      <c r="D4" s="7" t="s">
        <v>263</v>
      </c>
      <c r="E4" s="7">
        <v>75000</v>
      </c>
      <c r="F4" s="7" t="s">
        <v>239</v>
      </c>
    </row>
    <row r="5" spans="1:6">
      <c r="A5" s="7" t="s">
        <v>240</v>
      </c>
      <c r="B5" s="7" t="s">
        <v>241</v>
      </c>
      <c r="C5" s="7" t="s">
        <v>242</v>
      </c>
      <c r="D5" s="7" t="s">
        <v>263</v>
      </c>
      <c r="E5" s="7">
        <v>86000</v>
      </c>
      <c r="F5" s="7" t="s">
        <v>243</v>
      </c>
    </row>
    <row r="6" spans="1:6">
      <c r="A6" s="7" t="s">
        <v>244</v>
      </c>
      <c r="B6" s="7" t="s">
        <v>245</v>
      </c>
      <c r="C6" s="7" t="s">
        <v>246</v>
      </c>
      <c r="D6" s="7" t="s">
        <v>264</v>
      </c>
      <c r="E6" s="7">
        <v>39000</v>
      </c>
      <c r="F6" s="7" t="s">
        <v>247</v>
      </c>
    </row>
    <row r="7" spans="1:6">
      <c r="A7" s="7" t="s">
        <v>248</v>
      </c>
      <c r="B7" s="7" t="s">
        <v>249</v>
      </c>
      <c r="C7" s="7" t="s">
        <v>250</v>
      </c>
      <c r="D7" s="7" t="s">
        <v>263</v>
      </c>
      <c r="E7" s="7">
        <v>220000</v>
      </c>
      <c r="F7" s="7" t="s">
        <v>251</v>
      </c>
    </row>
    <row r="8" spans="1:6">
      <c r="A8" s="7" t="s">
        <v>252</v>
      </c>
      <c r="B8" s="7" t="s">
        <v>253</v>
      </c>
      <c r="C8" s="7" t="s">
        <v>254</v>
      </c>
      <c r="D8" s="7" t="s">
        <v>255</v>
      </c>
      <c r="E8" s="7">
        <v>150000</v>
      </c>
      <c r="F8" s="7" t="s">
        <v>256</v>
      </c>
    </row>
    <row r="9" spans="1:6">
      <c r="A9" s="7" t="s">
        <v>257</v>
      </c>
      <c r="B9" s="7" t="s">
        <v>258</v>
      </c>
      <c r="C9" s="7" t="s">
        <v>259</v>
      </c>
      <c r="D9" s="7" t="s">
        <v>265</v>
      </c>
      <c r="E9" s="7">
        <v>50000</v>
      </c>
      <c r="F9" s="7" t="s">
        <v>243</v>
      </c>
    </row>
    <row r="10" spans="1:6">
      <c r="A10" s="7" t="s">
        <v>260</v>
      </c>
      <c r="B10" s="7" t="s">
        <v>261</v>
      </c>
      <c r="C10" s="7" t="s">
        <v>262</v>
      </c>
      <c r="D10" s="7" t="s">
        <v>263</v>
      </c>
      <c r="E10" s="7">
        <v>66000</v>
      </c>
      <c r="F10" s="7" t="s">
        <v>239</v>
      </c>
    </row>
  </sheetData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3"/>
  <sheetViews>
    <sheetView workbookViewId="0">
      <selection sqref="A1:F1"/>
    </sheetView>
  </sheetViews>
  <sheetFormatPr defaultRowHeight="16.5"/>
  <cols>
    <col min="1" max="1" width="13.875" bestFit="1" customWidth="1"/>
    <col min="6" max="6" width="17.875" bestFit="1" customWidth="1"/>
  </cols>
  <sheetData>
    <row r="1" spans="1:6" ht="22.5">
      <c r="A1" s="33" t="s">
        <v>197</v>
      </c>
      <c r="B1" s="33"/>
      <c r="C1" s="33"/>
      <c r="D1" s="33"/>
      <c r="E1" s="33"/>
      <c r="F1" s="33"/>
    </row>
    <row r="3" spans="1:6">
      <c r="F3" s="28">
        <v>45296</v>
      </c>
    </row>
    <row r="4" spans="1:6">
      <c r="A4" s="29" t="s">
        <v>198</v>
      </c>
      <c r="B4" s="29" t="s">
        <v>199</v>
      </c>
      <c r="C4" s="29" t="s">
        <v>200</v>
      </c>
      <c r="D4" s="29" t="s">
        <v>201</v>
      </c>
      <c r="E4" s="29" t="s">
        <v>0</v>
      </c>
      <c r="F4" s="29" t="s">
        <v>202</v>
      </c>
    </row>
    <row r="5" spans="1:6">
      <c r="A5" s="29" t="s">
        <v>203</v>
      </c>
      <c r="B5" s="30">
        <v>40000</v>
      </c>
      <c r="C5" s="29">
        <v>550</v>
      </c>
      <c r="D5" s="29">
        <v>500</v>
      </c>
      <c r="E5" s="31">
        <v>0.1</v>
      </c>
      <c r="F5" s="30">
        <v>18000000</v>
      </c>
    </row>
    <row r="6" spans="1:6">
      <c r="A6" s="29" t="s">
        <v>204</v>
      </c>
      <c r="B6" s="30">
        <v>5500</v>
      </c>
      <c r="C6" s="29">
        <v>350</v>
      </c>
      <c r="D6" s="29">
        <v>325</v>
      </c>
      <c r="E6" s="31">
        <v>0.05</v>
      </c>
      <c r="F6" s="30">
        <v>1698125</v>
      </c>
    </row>
    <row r="7" spans="1:6">
      <c r="A7" s="29" t="s">
        <v>205</v>
      </c>
      <c r="B7" s="30">
        <v>8000</v>
      </c>
      <c r="C7" s="29">
        <v>300</v>
      </c>
      <c r="D7" s="29">
        <v>350</v>
      </c>
      <c r="E7" s="31">
        <v>0.15</v>
      </c>
      <c r="F7" s="30">
        <v>2380000</v>
      </c>
    </row>
    <row r="8" spans="1:6">
      <c r="A8" s="29" t="s">
        <v>206</v>
      </c>
      <c r="B8" s="30">
        <v>5000</v>
      </c>
      <c r="C8" s="29">
        <v>660</v>
      </c>
      <c r="D8" s="29">
        <v>590</v>
      </c>
      <c r="E8" s="31">
        <v>0.1</v>
      </c>
      <c r="F8" s="30">
        <v>2655000</v>
      </c>
    </row>
    <row r="9" spans="1:6">
      <c r="A9" s="29" t="s">
        <v>207</v>
      </c>
      <c r="B9" s="30">
        <v>28000</v>
      </c>
      <c r="C9" s="29">
        <v>540</v>
      </c>
      <c r="D9" s="29">
        <v>515</v>
      </c>
      <c r="E9" s="31">
        <v>0.15</v>
      </c>
      <c r="F9" s="30">
        <v>12257000</v>
      </c>
    </row>
    <row r="10" spans="1:6">
      <c r="A10" s="29" t="s">
        <v>208</v>
      </c>
      <c r="B10" s="30">
        <v>22000</v>
      </c>
      <c r="C10" s="29">
        <v>500</v>
      </c>
      <c r="D10" s="29">
        <v>360</v>
      </c>
      <c r="E10" s="31">
        <v>0.1</v>
      </c>
      <c r="F10" s="30">
        <v>7128000</v>
      </c>
    </row>
    <row r="11" spans="1:6">
      <c r="A11" s="29" t="s">
        <v>209</v>
      </c>
      <c r="B11" s="30">
        <v>10000</v>
      </c>
      <c r="C11" s="29">
        <v>700</v>
      </c>
      <c r="D11" s="29">
        <v>723</v>
      </c>
      <c r="E11" s="31">
        <v>7.0000000000000007E-2</v>
      </c>
      <c r="F11" s="30">
        <v>6723900</v>
      </c>
    </row>
    <row r="12" spans="1:6">
      <c r="A12" s="29" t="s">
        <v>210</v>
      </c>
      <c r="B12" s="30">
        <v>28000</v>
      </c>
      <c r="C12" s="29">
        <v>450</v>
      </c>
      <c r="D12" s="29">
        <v>243</v>
      </c>
      <c r="E12" s="31">
        <v>0.04</v>
      </c>
      <c r="F12" s="30">
        <v>6531840</v>
      </c>
    </row>
    <row r="13" spans="1:6">
      <c r="A13" s="29" t="s">
        <v>211</v>
      </c>
      <c r="B13" s="32"/>
      <c r="C13" s="32"/>
      <c r="D13" s="32"/>
      <c r="E13" s="32"/>
      <c r="F13" s="30">
        <v>57373865</v>
      </c>
    </row>
  </sheetData>
  <mergeCells count="1">
    <mergeCell ref="A1:F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27"/>
  <sheetViews>
    <sheetView workbookViewId="0">
      <selection sqref="A1:G1"/>
    </sheetView>
  </sheetViews>
  <sheetFormatPr defaultRowHeight="16.5"/>
  <cols>
    <col min="1" max="1" width="15.5" style="7" customWidth="1"/>
    <col min="2" max="2" width="9.375" style="7" customWidth="1"/>
    <col min="3" max="3" width="9.25" style="7" bestFit="1" customWidth="1"/>
    <col min="4" max="5" width="12" style="7" bestFit="1" customWidth="1"/>
    <col min="6" max="6" width="9.875" style="7" customWidth="1"/>
    <col min="7" max="7" width="12.875" style="7" bestFit="1" customWidth="1"/>
    <col min="8" max="16384" width="9" style="7"/>
  </cols>
  <sheetData>
    <row r="1" spans="1:7" ht="26.25">
      <c r="A1" s="34" t="s">
        <v>182</v>
      </c>
      <c r="B1" s="34"/>
      <c r="C1" s="34"/>
      <c r="D1" s="34"/>
      <c r="E1" s="34"/>
      <c r="F1" s="34"/>
      <c r="G1" s="34"/>
    </row>
    <row r="3" spans="1:7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>
      <c r="A4" s="22">
        <v>45343</v>
      </c>
      <c r="B4" s="2" t="s">
        <v>183</v>
      </c>
      <c r="C4" s="2" t="s">
        <v>184</v>
      </c>
      <c r="D4" s="2" t="s">
        <v>185</v>
      </c>
      <c r="E4" s="23">
        <v>4000</v>
      </c>
      <c r="F4" s="2">
        <v>144</v>
      </c>
      <c r="G4" s="23">
        <f t="shared" ref="G4:G16" si="0">E4*F4</f>
        <v>576000</v>
      </c>
    </row>
    <row r="5" spans="1:7">
      <c r="A5" s="22">
        <v>45344</v>
      </c>
      <c r="B5" s="2" t="s">
        <v>183</v>
      </c>
      <c r="C5" s="2" t="s">
        <v>184</v>
      </c>
      <c r="D5" s="2" t="s">
        <v>8</v>
      </c>
      <c r="E5" s="23">
        <v>4000</v>
      </c>
      <c r="F5" s="2">
        <v>135</v>
      </c>
      <c r="G5" s="23">
        <f t="shared" si="0"/>
        <v>540000</v>
      </c>
    </row>
    <row r="6" spans="1:7">
      <c r="A6" s="22">
        <v>45345</v>
      </c>
      <c r="B6" s="2" t="s">
        <v>183</v>
      </c>
      <c r="C6" s="2" t="s">
        <v>9</v>
      </c>
      <c r="D6" s="2" t="s">
        <v>8</v>
      </c>
      <c r="E6" s="23">
        <v>4000</v>
      </c>
      <c r="F6" s="2">
        <v>125</v>
      </c>
      <c r="G6" s="23">
        <f t="shared" si="0"/>
        <v>500000</v>
      </c>
    </row>
    <row r="7" spans="1:7">
      <c r="A7" s="22">
        <v>45359</v>
      </c>
      <c r="B7" s="2" t="s">
        <v>186</v>
      </c>
      <c r="C7" s="2" t="s">
        <v>187</v>
      </c>
      <c r="D7" s="2" t="s">
        <v>188</v>
      </c>
      <c r="E7" s="23">
        <v>4500</v>
      </c>
      <c r="F7" s="2">
        <v>117</v>
      </c>
      <c r="G7" s="23">
        <f t="shared" si="0"/>
        <v>526500</v>
      </c>
    </row>
    <row r="8" spans="1:7">
      <c r="A8" s="22">
        <v>45392</v>
      </c>
      <c r="B8" s="2" t="s">
        <v>186</v>
      </c>
      <c r="C8" s="2" t="s">
        <v>187</v>
      </c>
      <c r="D8" s="2" t="s">
        <v>189</v>
      </c>
      <c r="E8" s="23">
        <v>4500</v>
      </c>
      <c r="F8" s="2">
        <v>115</v>
      </c>
      <c r="G8" s="23">
        <f t="shared" si="0"/>
        <v>517500</v>
      </c>
    </row>
    <row r="9" spans="1:7">
      <c r="A9" s="22">
        <v>45357</v>
      </c>
      <c r="B9" s="2" t="s">
        <v>190</v>
      </c>
      <c r="C9" s="2" t="s">
        <v>10</v>
      </c>
      <c r="D9" s="2" t="s">
        <v>8</v>
      </c>
      <c r="E9" s="23">
        <v>5500</v>
      </c>
      <c r="F9" s="2">
        <v>124</v>
      </c>
      <c r="G9" s="23">
        <f t="shared" si="0"/>
        <v>682000</v>
      </c>
    </row>
    <row r="10" spans="1:7">
      <c r="A10" s="22">
        <v>45391</v>
      </c>
      <c r="B10" s="2" t="s">
        <v>191</v>
      </c>
      <c r="C10" s="2" t="s">
        <v>192</v>
      </c>
      <c r="D10" s="2" t="s">
        <v>11</v>
      </c>
      <c r="E10" s="23">
        <v>5500</v>
      </c>
      <c r="F10" s="2">
        <v>133</v>
      </c>
      <c r="G10" s="23">
        <f t="shared" si="0"/>
        <v>731500</v>
      </c>
    </row>
    <row r="11" spans="1:7">
      <c r="A11" s="22">
        <v>45421</v>
      </c>
      <c r="B11" s="2" t="s">
        <v>193</v>
      </c>
      <c r="C11" s="2" t="s">
        <v>9</v>
      </c>
      <c r="D11" s="2" t="s">
        <v>188</v>
      </c>
      <c r="E11" s="23">
        <v>4000</v>
      </c>
      <c r="F11" s="2">
        <v>145</v>
      </c>
      <c r="G11" s="23">
        <f t="shared" si="0"/>
        <v>580000</v>
      </c>
    </row>
    <row r="12" spans="1:7">
      <c r="A12" s="22">
        <v>45422</v>
      </c>
      <c r="B12" s="2" t="s">
        <v>190</v>
      </c>
      <c r="C12" s="2" t="s">
        <v>194</v>
      </c>
      <c r="D12" s="2" t="s">
        <v>11</v>
      </c>
      <c r="E12" s="23">
        <v>5500</v>
      </c>
      <c r="F12" s="2">
        <v>135</v>
      </c>
      <c r="G12" s="23">
        <f t="shared" si="0"/>
        <v>742500</v>
      </c>
    </row>
    <row r="13" spans="1:7">
      <c r="A13" s="22">
        <v>45425</v>
      </c>
      <c r="B13" s="2" t="s">
        <v>195</v>
      </c>
      <c r="C13" s="2" t="s">
        <v>9</v>
      </c>
      <c r="D13" s="2" t="s">
        <v>8</v>
      </c>
      <c r="E13" s="23">
        <v>4000</v>
      </c>
      <c r="F13" s="2">
        <v>166</v>
      </c>
      <c r="G13" s="23">
        <f t="shared" si="0"/>
        <v>664000</v>
      </c>
    </row>
    <row r="14" spans="1:7">
      <c r="A14" s="22">
        <v>45454</v>
      </c>
      <c r="B14" s="2" t="s">
        <v>186</v>
      </c>
      <c r="C14" s="2" t="s">
        <v>187</v>
      </c>
      <c r="D14" s="2" t="s">
        <v>188</v>
      </c>
      <c r="E14" s="23">
        <v>4500</v>
      </c>
      <c r="F14" s="2">
        <v>155</v>
      </c>
      <c r="G14" s="23">
        <f t="shared" si="0"/>
        <v>697500</v>
      </c>
    </row>
    <row r="15" spans="1:7">
      <c r="A15" s="22">
        <v>45441</v>
      </c>
      <c r="B15" s="2" t="s">
        <v>190</v>
      </c>
      <c r="C15" s="2" t="s">
        <v>194</v>
      </c>
      <c r="D15" s="2" t="s">
        <v>11</v>
      </c>
      <c r="E15" s="23">
        <v>5500</v>
      </c>
      <c r="F15" s="2">
        <v>67</v>
      </c>
      <c r="G15" s="23">
        <f t="shared" si="0"/>
        <v>368500</v>
      </c>
    </row>
    <row r="16" spans="1:7">
      <c r="A16" s="22">
        <v>45446</v>
      </c>
      <c r="B16" s="2" t="s">
        <v>195</v>
      </c>
      <c r="C16" s="2" t="s">
        <v>196</v>
      </c>
      <c r="D16" s="2" t="s">
        <v>188</v>
      </c>
      <c r="E16" s="23">
        <v>4000</v>
      </c>
      <c r="F16" s="2">
        <v>54</v>
      </c>
      <c r="G16" s="23">
        <f t="shared" si="0"/>
        <v>216000</v>
      </c>
    </row>
    <row r="17" spans="1:7">
      <c r="A17" s="8"/>
    </row>
    <row r="19" spans="1:7">
      <c r="A19" s="8" t="s">
        <v>266</v>
      </c>
      <c r="B19" s="8" t="s">
        <v>268</v>
      </c>
      <c r="C19" s="8"/>
      <c r="D19" s="8"/>
      <c r="E19" s="8"/>
      <c r="F19" s="8"/>
      <c r="G19" s="8"/>
    </row>
    <row r="20" spans="1:7">
      <c r="A20" s="8" t="s">
        <v>267</v>
      </c>
      <c r="B20" s="8" t="s">
        <v>269</v>
      </c>
      <c r="C20" s="8"/>
      <c r="D20" s="8"/>
      <c r="E20" s="8"/>
      <c r="F20" s="8"/>
      <c r="G20" s="8"/>
    </row>
    <row r="21" spans="1:7">
      <c r="A21" s="8"/>
      <c r="B21" s="8"/>
      <c r="C21" s="8"/>
      <c r="D21" s="8"/>
      <c r="E21" s="8"/>
      <c r="F21" s="8"/>
      <c r="G21" s="8"/>
    </row>
    <row r="23" spans="1:7">
      <c r="A23" s="2" t="s">
        <v>1</v>
      </c>
      <c r="B23" s="2" t="s">
        <v>2</v>
      </c>
      <c r="C23" s="2" t="s">
        <v>3</v>
      </c>
      <c r="D23" s="2" t="s">
        <v>4</v>
      </c>
      <c r="E23" s="2" t="s">
        <v>5</v>
      </c>
      <c r="F23" s="2" t="s">
        <v>6</v>
      </c>
      <c r="G23" s="2" t="s">
        <v>7</v>
      </c>
    </row>
    <row r="24" spans="1:7">
      <c r="A24" s="22">
        <v>45357</v>
      </c>
      <c r="B24" s="2" t="s">
        <v>190</v>
      </c>
      <c r="C24" s="2" t="s">
        <v>10</v>
      </c>
      <c r="D24" s="2" t="s">
        <v>8</v>
      </c>
      <c r="E24" s="23">
        <v>5500</v>
      </c>
      <c r="F24" s="2">
        <v>124</v>
      </c>
      <c r="G24" s="23">
        <v>682000</v>
      </c>
    </row>
    <row r="25" spans="1:7">
      <c r="A25" s="22">
        <v>45421</v>
      </c>
      <c r="B25" s="2" t="s">
        <v>183</v>
      </c>
      <c r="C25" s="2" t="s">
        <v>9</v>
      </c>
      <c r="D25" s="2" t="s">
        <v>188</v>
      </c>
      <c r="E25" s="23">
        <v>4000</v>
      </c>
      <c r="F25" s="2">
        <v>145</v>
      </c>
      <c r="G25" s="23">
        <v>580000</v>
      </c>
    </row>
    <row r="26" spans="1:7">
      <c r="A26" s="22">
        <v>45425</v>
      </c>
      <c r="B26" s="2" t="s">
        <v>183</v>
      </c>
      <c r="C26" s="2" t="s">
        <v>9</v>
      </c>
      <c r="D26" s="2" t="s">
        <v>8</v>
      </c>
      <c r="E26" s="23">
        <v>4000</v>
      </c>
      <c r="F26" s="2">
        <v>166</v>
      </c>
      <c r="G26" s="23">
        <v>664000</v>
      </c>
    </row>
    <row r="27" spans="1:7">
      <c r="A27" s="22">
        <v>45454</v>
      </c>
      <c r="B27" s="2" t="s">
        <v>186</v>
      </c>
      <c r="C27" s="2" t="s">
        <v>187</v>
      </c>
      <c r="D27" s="2" t="s">
        <v>188</v>
      </c>
      <c r="E27" s="23">
        <v>4500</v>
      </c>
      <c r="F27" s="2">
        <v>155</v>
      </c>
      <c r="G27" s="23">
        <v>697500</v>
      </c>
    </row>
  </sheetData>
  <mergeCells count="1">
    <mergeCell ref="A1:G1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L30"/>
  <sheetViews>
    <sheetView workbookViewId="0"/>
  </sheetViews>
  <sheetFormatPr defaultRowHeight="16.5"/>
  <cols>
    <col min="1" max="1" width="8.375" style="7" customWidth="1"/>
    <col min="2" max="2" width="21.625" style="7" customWidth="1"/>
    <col min="3" max="3" width="9.25" style="7" bestFit="1" customWidth="1"/>
    <col min="4" max="4" width="13.75" style="7" customWidth="1"/>
    <col min="5" max="5" width="8.375" style="7" customWidth="1"/>
    <col min="6" max="6" width="9.25" style="7" bestFit="1" customWidth="1"/>
    <col min="7" max="7" width="8" style="7" customWidth="1"/>
    <col min="8" max="8" width="9.25" style="7" bestFit="1" customWidth="1"/>
    <col min="9" max="9" width="10.375" style="7" customWidth="1"/>
    <col min="10" max="10" width="3.125" style="7" customWidth="1"/>
    <col min="11" max="11" width="9.25" style="7" bestFit="1" customWidth="1"/>
    <col min="12" max="16384" width="9" style="7"/>
  </cols>
  <sheetData>
    <row r="1" spans="1:12">
      <c r="A1" s="7" t="s">
        <v>106</v>
      </c>
      <c r="B1" s="7" t="s">
        <v>225</v>
      </c>
      <c r="F1" s="7" t="s">
        <v>107</v>
      </c>
      <c r="G1" s="7" t="s">
        <v>108</v>
      </c>
      <c r="K1" s="35" t="s">
        <v>109</v>
      </c>
      <c r="L1" s="35"/>
    </row>
    <row r="2" spans="1:12">
      <c r="A2" s="2" t="s">
        <v>110</v>
      </c>
      <c r="B2" s="2" t="s">
        <v>111</v>
      </c>
      <c r="C2" s="2" t="s">
        <v>112</v>
      </c>
      <c r="D2" s="18" t="s">
        <v>113</v>
      </c>
      <c r="F2" s="2" t="s">
        <v>114</v>
      </c>
      <c r="G2" s="2" t="s">
        <v>115</v>
      </c>
      <c r="H2" s="2" t="s">
        <v>116</v>
      </c>
      <c r="I2" s="18" t="s">
        <v>117</v>
      </c>
      <c r="K2" s="2" t="s">
        <v>118</v>
      </c>
      <c r="L2" s="2" t="s">
        <v>119</v>
      </c>
    </row>
    <row r="3" spans="1:12">
      <c r="A3" s="2" t="s">
        <v>120</v>
      </c>
      <c r="B3" s="2">
        <v>65</v>
      </c>
      <c r="C3" s="2">
        <v>75</v>
      </c>
      <c r="D3" s="2" t="str">
        <f>IF(AND(AVERAGE(B3:C3)&gt;=60,B3&gt;=40,C3&gt;=40),"합격","불합격")</f>
        <v>합격</v>
      </c>
      <c r="F3" s="2">
        <v>1</v>
      </c>
      <c r="G3" s="2" t="s">
        <v>121</v>
      </c>
      <c r="H3" s="24" t="s">
        <v>227</v>
      </c>
      <c r="I3" s="2" t="str">
        <f>VLOOKUP(MID(H3,2,1),$K$3:$L$8,2,FALSE)</f>
        <v>동호중</v>
      </c>
      <c r="K3" s="19" t="s">
        <v>12</v>
      </c>
      <c r="L3" s="2" t="s">
        <v>122</v>
      </c>
    </row>
    <row r="4" spans="1:12">
      <c r="A4" s="2" t="s">
        <v>123</v>
      </c>
      <c r="B4" s="2">
        <v>77</v>
      </c>
      <c r="C4" s="2">
        <v>25</v>
      </c>
      <c r="D4" s="2" t="str">
        <f t="shared" ref="D4:D8" si="0">IF(AND(AVERAGE(B4:C4)&gt;=60,B4&gt;=40,C4&gt;=40),"합격","불합격")</f>
        <v>불합격</v>
      </c>
      <c r="F4" s="2">
        <v>2</v>
      </c>
      <c r="G4" s="2" t="s">
        <v>124</v>
      </c>
      <c r="H4" s="19" t="s">
        <v>13</v>
      </c>
      <c r="I4" s="2" t="str">
        <f t="shared" ref="I4:I8" si="1">VLOOKUP(MID(H4,2,1),$K$3:$L$8,2,FALSE)</f>
        <v>성동여중</v>
      </c>
      <c r="K4" s="19" t="s">
        <v>14</v>
      </c>
      <c r="L4" s="2" t="s">
        <v>125</v>
      </c>
    </row>
    <row r="5" spans="1:12">
      <c r="A5" s="2" t="s">
        <v>126</v>
      </c>
      <c r="B5" s="2">
        <v>85</v>
      </c>
      <c r="C5" s="2">
        <v>62</v>
      </c>
      <c r="D5" s="2" t="str">
        <f t="shared" si="0"/>
        <v>합격</v>
      </c>
      <c r="F5" s="2">
        <v>3</v>
      </c>
      <c r="G5" s="2" t="s">
        <v>127</v>
      </c>
      <c r="H5" s="19" t="s">
        <v>15</v>
      </c>
      <c r="I5" s="2" t="str">
        <f t="shared" si="1"/>
        <v>상공중</v>
      </c>
      <c r="K5" s="19" t="s">
        <v>16</v>
      </c>
      <c r="L5" s="2" t="s">
        <v>128</v>
      </c>
    </row>
    <row r="6" spans="1:12">
      <c r="A6" s="2" t="s">
        <v>129</v>
      </c>
      <c r="B6" s="2">
        <v>90</v>
      </c>
      <c r="C6" s="2">
        <v>88</v>
      </c>
      <c r="D6" s="2" t="str">
        <f t="shared" si="0"/>
        <v>합격</v>
      </c>
      <c r="F6" s="2">
        <v>4</v>
      </c>
      <c r="G6" s="2" t="s">
        <v>130</v>
      </c>
      <c r="H6" s="19" t="s">
        <v>17</v>
      </c>
      <c r="I6" s="2" t="str">
        <f t="shared" si="1"/>
        <v>상계중</v>
      </c>
      <c r="K6" s="19" t="s">
        <v>18</v>
      </c>
      <c r="L6" s="2" t="s">
        <v>131</v>
      </c>
    </row>
    <row r="7" spans="1:12">
      <c r="A7" s="2" t="s">
        <v>132</v>
      </c>
      <c r="B7" s="2">
        <v>45</v>
      </c>
      <c r="C7" s="2">
        <v>55</v>
      </c>
      <c r="D7" s="2" t="str">
        <f t="shared" si="0"/>
        <v>불합격</v>
      </c>
      <c r="F7" s="2">
        <v>5</v>
      </c>
      <c r="G7" s="2" t="s">
        <v>133</v>
      </c>
      <c r="H7" s="19" t="s">
        <v>19</v>
      </c>
      <c r="I7" s="2" t="str">
        <f t="shared" si="1"/>
        <v>명성중</v>
      </c>
      <c r="K7" s="19" t="s">
        <v>20</v>
      </c>
      <c r="L7" s="2" t="s">
        <v>134</v>
      </c>
    </row>
    <row r="8" spans="1:12">
      <c r="A8" s="2" t="s">
        <v>135</v>
      </c>
      <c r="B8" s="2">
        <v>50</v>
      </c>
      <c r="C8" s="2">
        <v>78</v>
      </c>
      <c r="D8" s="2" t="str">
        <f t="shared" si="0"/>
        <v>합격</v>
      </c>
      <c r="F8" s="2">
        <v>6</v>
      </c>
      <c r="G8" s="2" t="s">
        <v>136</v>
      </c>
      <c r="H8" s="19" t="s">
        <v>21</v>
      </c>
      <c r="I8" s="2" t="str">
        <f t="shared" si="1"/>
        <v>대한중</v>
      </c>
      <c r="K8" s="19" t="s">
        <v>22</v>
      </c>
      <c r="L8" s="2" t="s">
        <v>137</v>
      </c>
    </row>
    <row r="10" spans="1:12">
      <c r="A10" s="20" t="s">
        <v>138</v>
      </c>
      <c r="B10" s="20" t="s">
        <v>226</v>
      </c>
      <c r="F10" s="7" t="s">
        <v>139</v>
      </c>
      <c r="G10" s="20" t="s">
        <v>140</v>
      </c>
    </row>
    <row r="11" spans="1:12">
      <c r="A11" s="2" t="s">
        <v>141</v>
      </c>
      <c r="B11" s="2" t="s">
        <v>142</v>
      </c>
      <c r="C11" s="2" t="s">
        <v>143</v>
      </c>
      <c r="D11" s="2" t="s">
        <v>144</v>
      </c>
      <c r="F11" s="2" t="s">
        <v>145</v>
      </c>
      <c r="G11" s="2" t="s">
        <v>146</v>
      </c>
      <c r="H11" s="2" t="s">
        <v>277</v>
      </c>
      <c r="I11" s="2" t="s">
        <v>278</v>
      </c>
    </row>
    <row r="12" spans="1:12">
      <c r="A12" s="2" t="s">
        <v>147</v>
      </c>
      <c r="B12" s="2" t="s">
        <v>148</v>
      </c>
      <c r="C12" s="2">
        <v>45</v>
      </c>
      <c r="D12" s="21">
        <v>2592000</v>
      </c>
      <c r="F12" s="2" t="s">
        <v>149</v>
      </c>
      <c r="G12" s="2" t="s">
        <v>150</v>
      </c>
      <c r="H12" s="2">
        <v>42</v>
      </c>
      <c r="I12" s="2">
        <v>77</v>
      </c>
    </row>
    <row r="13" spans="1:12">
      <c r="A13" s="2" t="s">
        <v>151</v>
      </c>
      <c r="B13" s="2" t="s">
        <v>152</v>
      </c>
      <c r="C13" s="2">
        <v>33</v>
      </c>
      <c r="D13" s="21">
        <v>1900800</v>
      </c>
      <c r="F13" s="2" t="s">
        <v>153</v>
      </c>
      <c r="G13" s="2" t="s">
        <v>154</v>
      </c>
      <c r="H13" s="2">
        <v>102</v>
      </c>
      <c r="I13" s="2">
        <v>88</v>
      </c>
    </row>
    <row r="14" spans="1:12">
      <c r="A14" s="2" t="s">
        <v>155</v>
      </c>
      <c r="B14" s="2" t="s">
        <v>148</v>
      </c>
      <c r="C14" s="2">
        <v>25</v>
      </c>
      <c r="D14" s="21">
        <v>1440000</v>
      </c>
      <c r="F14" s="2" t="s">
        <v>156</v>
      </c>
      <c r="G14" s="2" t="s">
        <v>157</v>
      </c>
      <c r="H14" s="2">
        <v>122</v>
      </c>
      <c r="I14" s="2">
        <v>109</v>
      </c>
      <c r="K14" s="36" t="s">
        <v>279</v>
      </c>
      <c r="L14" s="36"/>
    </row>
    <row r="15" spans="1:12">
      <c r="A15" s="2" t="s">
        <v>158</v>
      </c>
      <c r="B15" s="2" t="s">
        <v>152</v>
      </c>
      <c r="C15" s="2">
        <v>36</v>
      </c>
      <c r="D15" s="21">
        <v>2073600</v>
      </c>
      <c r="F15" s="2" t="s">
        <v>159</v>
      </c>
      <c r="G15" s="2" t="s">
        <v>154</v>
      </c>
      <c r="H15" s="2">
        <v>89</v>
      </c>
      <c r="I15" s="2">
        <v>56</v>
      </c>
      <c r="K15" s="37" t="str">
        <f>SUMIF(G12:G19,"서울",I12:I19)&amp;"대"</f>
        <v>264대</v>
      </c>
      <c r="L15" s="37"/>
    </row>
    <row r="16" spans="1:12">
      <c r="A16" s="2" t="s">
        <v>160</v>
      </c>
      <c r="B16" s="2" t="s">
        <v>148</v>
      </c>
      <c r="C16" s="2">
        <v>23</v>
      </c>
      <c r="D16" s="21">
        <v>1324800</v>
      </c>
      <c r="F16" s="2" t="s">
        <v>161</v>
      </c>
      <c r="G16" s="2" t="s">
        <v>162</v>
      </c>
      <c r="H16" s="2">
        <v>90</v>
      </c>
      <c r="I16" s="2">
        <v>78</v>
      </c>
    </row>
    <row r="17" spans="1:9">
      <c r="A17" s="2" t="s">
        <v>163</v>
      </c>
      <c r="B17" s="2" t="s">
        <v>152</v>
      </c>
      <c r="C17" s="2">
        <v>34</v>
      </c>
      <c r="D17" s="21">
        <v>1958400</v>
      </c>
      <c r="F17" s="2" t="s">
        <v>164</v>
      </c>
      <c r="G17" s="2" t="s">
        <v>150</v>
      </c>
      <c r="H17" s="2">
        <v>105</v>
      </c>
      <c r="I17" s="2">
        <v>44</v>
      </c>
    </row>
    <row r="18" spans="1:9">
      <c r="A18" s="2" t="s">
        <v>165</v>
      </c>
      <c r="B18" s="2" t="s">
        <v>148</v>
      </c>
      <c r="C18" s="2">
        <v>15</v>
      </c>
      <c r="D18" s="21">
        <v>864000</v>
      </c>
      <c r="F18" s="2" t="s">
        <v>166</v>
      </c>
      <c r="G18" s="2" t="s">
        <v>154</v>
      </c>
      <c r="H18" s="2">
        <v>110</v>
      </c>
      <c r="I18" s="2">
        <v>120</v>
      </c>
    </row>
    <row r="19" spans="1:9">
      <c r="B19" s="18" t="s">
        <v>167</v>
      </c>
      <c r="F19" s="2" t="s">
        <v>168</v>
      </c>
      <c r="G19" s="2" t="s">
        <v>169</v>
      </c>
      <c r="H19" s="2">
        <v>76</v>
      </c>
      <c r="I19" s="2">
        <v>87</v>
      </c>
    </row>
    <row r="20" spans="1:9">
      <c r="B20" s="21">
        <f>ROUND(DAVERAGE(A11:D18,D11,B11:B12),-3)</f>
        <v>1555000</v>
      </c>
    </row>
    <row r="22" spans="1:9">
      <c r="A22" s="7" t="s">
        <v>170</v>
      </c>
      <c r="B22" s="7" t="s">
        <v>171</v>
      </c>
    </row>
    <row r="23" spans="1:9">
      <c r="A23" s="2" t="s">
        <v>145</v>
      </c>
      <c r="B23" s="2" t="s">
        <v>172</v>
      </c>
      <c r="C23" s="2" t="s">
        <v>173</v>
      </c>
      <c r="D23" s="2" t="s">
        <v>23</v>
      </c>
      <c r="E23" s="2" t="s">
        <v>24</v>
      </c>
      <c r="F23" s="2" t="s">
        <v>25</v>
      </c>
      <c r="G23" s="2" t="s">
        <v>174</v>
      </c>
      <c r="H23" s="18" t="s">
        <v>175</v>
      </c>
    </row>
    <row r="24" spans="1:9">
      <c r="A24" s="2" t="s">
        <v>176</v>
      </c>
      <c r="B24" s="2">
        <v>18</v>
      </c>
      <c r="C24" s="2">
        <v>20</v>
      </c>
      <c r="D24" s="2">
        <v>20</v>
      </c>
      <c r="E24" s="2">
        <v>15</v>
      </c>
      <c r="F24" s="2">
        <v>16</v>
      </c>
      <c r="G24" s="2">
        <f>B24+C24+D24+E24+F24</f>
        <v>89</v>
      </c>
      <c r="H24" s="2" t="str">
        <f>CHOOSE(_xlfn.RANK.EQ(G24,$G$24:$G$29,0),"대상","금상","은상","동상","","")</f>
        <v>금상</v>
      </c>
    </row>
    <row r="25" spans="1:9">
      <c r="A25" s="2" t="s">
        <v>177</v>
      </c>
      <c r="B25" s="2">
        <v>18</v>
      </c>
      <c r="C25" s="2">
        <v>18</v>
      </c>
      <c r="D25" s="2">
        <v>20</v>
      </c>
      <c r="E25" s="2">
        <v>0</v>
      </c>
      <c r="F25" s="2">
        <v>18</v>
      </c>
      <c r="G25" s="2">
        <f t="shared" ref="G25:G29" si="2">B25+C25+D25+E25+F25</f>
        <v>74</v>
      </c>
      <c r="H25" s="2" t="str">
        <f t="shared" ref="H25:H29" si="3">CHOOSE(_xlfn.RANK.EQ(G25,$G$24:$G$29,0),"대상","금상","은상","동상","","")</f>
        <v>은상</v>
      </c>
    </row>
    <row r="26" spans="1:9">
      <c r="A26" s="2" t="s">
        <v>178</v>
      </c>
      <c r="B26" s="2">
        <v>13</v>
      </c>
      <c r="C26" s="2">
        <v>0</v>
      </c>
      <c r="D26" s="2">
        <v>15</v>
      </c>
      <c r="E26" s="2">
        <v>20</v>
      </c>
      <c r="F26" s="2">
        <v>19</v>
      </c>
      <c r="G26" s="2">
        <f t="shared" si="2"/>
        <v>67</v>
      </c>
      <c r="H26" s="2" t="str">
        <f t="shared" si="3"/>
        <v/>
      </c>
    </row>
    <row r="27" spans="1:9">
      <c r="A27" s="2" t="s">
        <v>179</v>
      </c>
      <c r="B27" s="2">
        <v>20</v>
      </c>
      <c r="C27" s="2">
        <v>18</v>
      </c>
      <c r="D27" s="2">
        <v>15</v>
      </c>
      <c r="E27" s="2">
        <v>20</v>
      </c>
      <c r="F27" s="2">
        <v>20</v>
      </c>
      <c r="G27" s="2">
        <f t="shared" si="2"/>
        <v>93</v>
      </c>
      <c r="H27" s="2" t="str">
        <f t="shared" si="3"/>
        <v>대상</v>
      </c>
    </row>
    <row r="28" spans="1:9">
      <c r="A28" s="2" t="s">
        <v>180</v>
      </c>
      <c r="B28" s="2">
        <v>5</v>
      </c>
      <c r="C28" s="2">
        <v>8</v>
      </c>
      <c r="D28" s="2">
        <v>7</v>
      </c>
      <c r="E28" s="2">
        <v>20</v>
      </c>
      <c r="F28" s="2">
        <v>20</v>
      </c>
      <c r="G28" s="2">
        <f t="shared" si="2"/>
        <v>60</v>
      </c>
      <c r="H28" s="2" t="str">
        <f t="shared" si="3"/>
        <v/>
      </c>
    </row>
    <row r="29" spans="1:9">
      <c r="A29" s="2" t="s">
        <v>181</v>
      </c>
      <c r="B29" s="2">
        <v>8</v>
      </c>
      <c r="C29" s="2">
        <v>10</v>
      </c>
      <c r="D29" s="2">
        <v>20</v>
      </c>
      <c r="E29" s="2">
        <v>16</v>
      </c>
      <c r="F29" s="2">
        <v>19</v>
      </c>
      <c r="G29" s="2">
        <f t="shared" si="2"/>
        <v>73</v>
      </c>
      <c r="H29" s="2" t="str">
        <f t="shared" si="3"/>
        <v>동상</v>
      </c>
    </row>
    <row r="30" spans="1:9">
      <c r="H30" s="8"/>
    </row>
  </sheetData>
  <mergeCells count="3">
    <mergeCell ref="K1:L1"/>
    <mergeCell ref="K14:L14"/>
    <mergeCell ref="K15:L15"/>
  </mergeCells>
  <phoneticPr fontId="2" type="noConversion"/>
  <printOptions horizontalCentered="1" headings="1" gridLines="1"/>
  <pageMargins left="0.39370078740157483" right="0.39370078740157483" top="0.35" bottom="0.41" header="0.28000000000000003" footer="0.19"/>
  <pageSetup paperSize="9" orientation="landscape" r:id="rId1"/>
  <headerFooter alignWithMargins="0">
    <oddFooter>&amp;C&amp;F&amp;A</oddFooter>
  </headerFooter>
  <ignoredErrors>
    <ignoredError sqref="H3:H8 K3:K8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5"/>
  <sheetViews>
    <sheetView workbookViewId="0">
      <selection sqref="A1:I1"/>
    </sheetView>
  </sheetViews>
  <sheetFormatPr defaultRowHeight="16.5" outlineLevelRow="3"/>
  <cols>
    <col min="1" max="1" width="9.5" style="7" bestFit="1" customWidth="1"/>
    <col min="2" max="2" width="15.625" style="7" bestFit="1" customWidth="1"/>
    <col min="3" max="3" width="16.125" style="7" bestFit="1" customWidth="1"/>
    <col min="4" max="16384" width="9" style="7"/>
  </cols>
  <sheetData>
    <row r="1" spans="1:9" ht="26.25">
      <c r="A1" s="38" t="s">
        <v>71</v>
      </c>
      <c r="B1" s="38"/>
      <c r="C1" s="38"/>
      <c r="D1" s="38"/>
      <c r="E1" s="38"/>
      <c r="F1" s="38"/>
      <c r="G1" s="38"/>
      <c r="H1" s="38"/>
      <c r="I1" s="38"/>
    </row>
    <row r="3" spans="1:9">
      <c r="A3" s="15" t="s">
        <v>72</v>
      </c>
      <c r="B3" s="15" t="s">
        <v>73</v>
      </c>
      <c r="C3" s="15" t="s">
        <v>74</v>
      </c>
      <c r="D3" s="16" t="s">
        <v>75</v>
      </c>
      <c r="E3" s="2" t="s">
        <v>26</v>
      </c>
      <c r="F3" s="2" t="s">
        <v>27</v>
      </c>
      <c r="G3" s="2" t="s">
        <v>28</v>
      </c>
      <c r="H3" s="2" t="s">
        <v>29</v>
      </c>
      <c r="I3" s="2" t="s">
        <v>30</v>
      </c>
    </row>
    <row r="4" spans="1:9" outlineLevel="3">
      <c r="A4" s="15" t="s">
        <v>39</v>
      </c>
      <c r="B4" s="15" t="s">
        <v>99</v>
      </c>
      <c r="C4" s="15" t="s">
        <v>100</v>
      </c>
      <c r="D4" s="17">
        <v>2500</v>
      </c>
      <c r="E4" s="2" t="s">
        <v>101</v>
      </c>
      <c r="F4" s="2" t="s">
        <v>87</v>
      </c>
      <c r="G4" s="2">
        <v>42</v>
      </c>
      <c r="H4" s="43">
        <v>45359</v>
      </c>
      <c r="I4" s="43">
        <v>45366</v>
      </c>
    </row>
    <row r="5" spans="1:9" outlineLevel="3">
      <c r="A5" s="15" t="s">
        <v>40</v>
      </c>
      <c r="B5" s="15" t="s">
        <v>102</v>
      </c>
      <c r="C5" s="15" t="s">
        <v>100</v>
      </c>
      <c r="D5" s="17">
        <v>450</v>
      </c>
      <c r="E5" s="2" t="s">
        <v>103</v>
      </c>
      <c r="F5" s="2" t="s">
        <v>31</v>
      </c>
      <c r="G5" s="2">
        <v>30</v>
      </c>
      <c r="H5" s="43">
        <v>45348</v>
      </c>
      <c r="I5" s="43">
        <v>45355</v>
      </c>
    </row>
    <row r="6" spans="1:9" outlineLevel="3">
      <c r="A6" s="15" t="s">
        <v>41</v>
      </c>
      <c r="B6" s="15" t="s">
        <v>42</v>
      </c>
      <c r="C6" s="15" t="s">
        <v>100</v>
      </c>
      <c r="D6" s="17">
        <v>500</v>
      </c>
      <c r="E6" s="2" t="s">
        <v>104</v>
      </c>
      <c r="F6" s="2" t="s">
        <v>31</v>
      </c>
      <c r="G6" s="2">
        <v>22</v>
      </c>
      <c r="H6" s="43">
        <v>45355</v>
      </c>
      <c r="I6" s="43">
        <v>45362</v>
      </c>
    </row>
    <row r="7" spans="1:9" outlineLevel="3">
      <c r="A7" s="15" t="s">
        <v>43</v>
      </c>
      <c r="B7" s="15" t="s">
        <v>44</v>
      </c>
      <c r="C7" s="15" t="s">
        <v>100</v>
      </c>
      <c r="D7" s="17">
        <v>300</v>
      </c>
      <c r="E7" s="2" t="s">
        <v>105</v>
      </c>
      <c r="F7" s="2" t="s">
        <v>80</v>
      </c>
      <c r="G7" s="2">
        <v>34</v>
      </c>
      <c r="H7" s="43">
        <v>45358</v>
      </c>
      <c r="I7" s="43">
        <v>45365</v>
      </c>
    </row>
    <row r="8" spans="1:9" outlineLevel="2">
      <c r="A8" s="15"/>
      <c r="B8" s="15"/>
      <c r="C8" s="25" t="s">
        <v>280</v>
      </c>
      <c r="D8" s="17"/>
      <c r="E8" s="2"/>
      <c r="F8" s="2"/>
      <c r="G8" s="2">
        <f>SUBTOTAL(5,G4:G7)</f>
        <v>22</v>
      </c>
      <c r="H8" s="43"/>
      <c r="I8" s="43"/>
    </row>
    <row r="9" spans="1:9" outlineLevel="1">
      <c r="A9" s="15"/>
      <c r="B9" s="15"/>
      <c r="C9" s="25" t="s">
        <v>270</v>
      </c>
      <c r="D9" s="17">
        <f>SUBTOTAL(9,D4:D7)</f>
        <v>3750</v>
      </c>
      <c r="E9" s="2"/>
      <c r="F9" s="2"/>
      <c r="G9" s="2"/>
      <c r="H9" s="43"/>
      <c r="I9" s="43"/>
    </row>
    <row r="10" spans="1:9" outlineLevel="3">
      <c r="A10" s="15" t="s">
        <v>32</v>
      </c>
      <c r="B10" s="15" t="s">
        <v>84</v>
      </c>
      <c r="C10" s="15" t="s">
        <v>85</v>
      </c>
      <c r="D10" s="17">
        <v>1500</v>
      </c>
      <c r="E10" s="2" t="s">
        <v>86</v>
      </c>
      <c r="F10" s="2" t="s">
        <v>87</v>
      </c>
      <c r="G10" s="2">
        <v>23</v>
      </c>
      <c r="H10" s="43">
        <v>45355</v>
      </c>
      <c r="I10" s="43">
        <v>45362</v>
      </c>
    </row>
    <row r="11" spans="1:9" outlineLevel="3">
      <c r="A11" s="15" t="s">
        <v>33</v>
      </c>
      <c r="B11" s="15" t="s">
        <v>88</v>
      </c>
      <c r="C11" s="15" t="s">
        <v>85</v>
      </c>
      <c r="D11" s="17">
        <v>400</v>
      </c>
      <c r="E11" s="2" t="s">
        <v>89</v>
      </c>
      <c r="F11" s="2" t="s">
        <v>34</v>
      </c>
      <c r="G11" s="2">
        <v>45</v>
      </c>
      <c r="H11" s="43">
        <v>45356</v>
      </c>
      <c r="I11" s="43">
        <v>45363</v>
      </c>
    </row>
    <row r="12" spans="1:9" outlineLevel="3">
      <c r="A12" s="15" t="s">
        <v>35</v>
      </c>
      <c r="B12" s="15" t="s">
        <v>90</v>
      </c>
      <c r="C12" s="15" t="s">
        <v>85</v>
      </c>
      <c r="D12" s="17">
        <v>300</v>
      </c>
      <c r="E12" s="2" t="s">
        <v>91</v>
      </c>
      <c r="F12" s="2" t="s">
        <v>34</v>
      </c>
      <c r="G12" s="2">
        <v>33</v>
      </c>
      <c r="H12" s="43">
        <v>45356</v>
      </c>
      <c r="I12" s="43">
        <v>45363</v>
      </c>
    </row>
    <row r="13" spans="1:9" outlineLevel="3">
      <c r="A13" s="15" t="s">
        <v>36</v>
      </c>
      <c r="B13" s="15" t="s">
        <v>92</v>
      </c>
      <c r="C13" s="15" t="s">
        <v>85</v>
      </c>
      <c r="D13" s="17">
        <v>700</v>
      </c>
      <c r="E13" s="2" t="s">
        <v>93</v>
      </c>
      <c r="F13" s="2" t="s">
        <v>34</v>
      </c>
      <c r="G13" s="2">
        <v>56</v>
      </c>
      <c r="H13" s="43">
        <v>45357</v>
      </c>
      <c r="I13" s="43">
        <v>45364</v>
      </c>
    </row>
    <row r="14" spans="1:9" outlineLevel="3">
      <c r="A14" s="15" t="s">
        <v>37</v>
      </c>
      <c r="B14" s="15" t="s">
        <v>94</v>
      </c>
      <c r="C14" s="15" t="s">
        <v>85</v>
      </c>
      <c r="D14" s="17">
        <v>1000</v>
      </c>
      <c r="E14" s="2" t="s">
        <v>95</v>
      </c>
      <c r="F14" s="2" t="s">
        <v>34</v>
      </c>
      <c r="G14" s="2">
        <v>27</v>
      </c>
      <c r="H14" s="43">
        <v>45358</v>
      </c>
      <c r="I14" s="43">
        <v>45365</v>
      </c>
    </row>
    <row r="15" spans="1:9" outlineLevel="2">
      <c r="A15" s="15"/>
      <c r="B15" s="15"/>
      <c r="C15" s="25" t="s">
        <v>281</v>
      </c>
      <c r="D15" s="17"/>
      <c r="E15" s="2"/>
      <c r="F15" s="2"/>
      <c r="G15" s="2">
        <f>SUBTOTAL(5,G10:G14)</f>
        <v>23</v>
      </c>
      <c r="H15" s="43"/>
      <c r="I15" s="43"/>
    </row>
    <row r="16" spans="1:9" outlineLevel="1">
      <c r="A16" s="15"/>
      <c r="B16" s="15"/>
      <c r="C16" s="25" t="s">
        <v>271</v>
      </c>
      <c r="D16" s="17">
        <f>SUBTOTAL(9,D10:D14)</f>
        <v>3900</v>
      </c>
      <c r="E16" s="2"/>
      <c r="F16" s="2"/>
      <c r="G16" s="2"/>
      <c r="H16" s="43"/>
      <c r="I16" s="43"/>
    </row>
    <row r="17" spans="1:9" outlineLevel="3">
      <c r="A17" s="15" t="s">
        <v>38</v>
      </c>
      <c r="B17" s="15" t="s">
        <v>96</v>
      </c>
      <c r="C17" s="15" t="s">
        <v>97</v>
      </c>
      <c r="D17" s="17">
        <v>350</v>
      </c>
      <c r="E17" s="2" t="s">
        <v>98</v>
      </c>
      <c r="F17" s="2" t="s">
        <v>87</v>
      </c>
      <c r="G17" s="2">
        <v>34</v>
      </c>
      <c r="H17" s="43">
        <v>45358</v>
      </c>
      <c r="I17" s="43">
        <v>45365</v>
      </c>
    </row>
    <row r="18" spans="1:9" outlineLevel="2">
      <c r="A18" s="15"/>
      <c r="B18" s="15"/>
      <c r="C18" s="25" t="s">
        <v>282</v>
      </c>
      <c r="D18" s="17"/>
      <c r="E18" s="2"/>
      <c r="F18" s="2"/>
      <c r="G18" s="2">
        <f>SUBTOTAL(5,G17:G17)</f>
        <v>34</v>
      </c>
      <c r="H18" s="43"/>
      <c r="I18" s="43"/>
    </row>
    <row r="19" spans="1:9" outlineLevel="1">
      <c r="A19" s="15"/>
      <c r="B19" s="15"/>
      <c r="C19" s="25" t="s">
        <v>272</v>
      </c>
      <c r="D19" s="17">
        <f>SUBTOTAL(9,D17:D17)</f>
        <v>350</v>
      </c>
      <c r="E19" s="2"/>
      <c r="F19" s="2"/>
      <c r="G19" s="2"/>
      <c r="H19" s="43"/>
      <c r="I19" s="43"/>
    </row>
    <row r="20" spans="1:9" outlineLevel="3">
      <c r="A20" s="15" t="s">
        <v>76</v>
      </c>
      <c r="B20" s="15" t="s">
        <v>77</v>
      </c>
      <c r="C20" s="15" t="s">
        <v>78</v>
      </c>
      <c r="D20" s="17">
        <v>1000</v>
      </c>
      <c r="E20" s="2" t="s">
        <v>79</v>
      </c>
      <c r="F20" s="2" t="s">
        <v>80</v>
      </c>
      <c r="G20" s="2">
        <v>32</v>
      </c>
      <c r="H20" s="43">
        <v>45348</v>
      </c>
      <c r="I20" s="43">
        <v>45355</v>
      </c>
    </row>
    <row r="21" spans="1:9" outlineLevel="3">
      <c r="A21" s="15" t="s">
        <v>81</v>
      </c>
      <c r="B21" s="15" t="s">
        <v>82</v>
      </c>
      <c r="C21" s="15" t="s">
        <v>78</v>
      </c>
      <c r="D21" s="17">
        <v>1500</v>
      </c>
      <c r="E21" s="2" t="s">
        <v>83</v>
      </c>
      <c r="F21" s="2" t="s">
        <v>31</v>
      </c>
      <c r="G21" s="2">
        <v>17</v>
      </c>
      <c r="H21" s="43">
        <v>45348</v>
      </c>
      <c r="I21" s="43">
        <v>45355</v>
      </c>
    </row>
    <row r="22" spans="1:9" outlineLevel="2">
      <c r="A22" s="44"/>
      <c r="B22" s="44"/>
      <c r="C22" s="47" t="s">
        <v>283</v>
      </c>
      <c r="D22" s="26"/>
      <c r="E22" s="45"/>
      <c r="F22" s="45"/>
      <c r="G22" s="45">
        <f>SUBTOTAL(5,G20:G21)</f>
        <v>17</v>
      </c>
      <c r="H22" s="46"/>
      <c r="I22" s="46"/>
    </row>
    <row r="23" spans="1:9" outlineLevel="1">
      <c r="A23" s="44"/>
      <c r="B23" s="44"/>
      <c r="C23" s="47" t="s">
        <v>273</v>
      </c>
      <c r="D23" s="26">
        <f>SUBTOTAL(9,D20:D21)</f>
        <v>2500</v>
      </c>
      <c r="E23" s="45"/>
      <c r="F23" s="45"/>
      <c r="G23" s="45"/>
      <c r="H23" s="46"/>
      <c r="I23" s="46"/>
    </row>
    <row r="24" spans="1:9">
      <c r="A24" s="44"/>
      <c r="B24" s="44"/>
      <c r="C24" s="47" t="s">
        <v>275</v>
      </c>
      <c r="D24" s="26"/>
      <c r="E24" s="45"/>
      <c r="F24" s="45"/>
      <c r="G24" s="45">
        <f>SUBTOTAL(5,G4:G21)</f>
        <v>17</v>
      </c>
      <c r="H24" s="46"/>
      <c r="I24" s="46"/>
    </row>
    <row r="25" spans="1:9">
      <c r="A25" s="44"/>
      <c r="B25" s="44"/>
      <c r="C25" s="47" t="s">
        <v>274</v>
      </c>
      <c r="D25" s="26">
        <f>SUBTOTAL(9,D4:D21)</f>
        <v>10500</v>
      </c>
      <c r="E25" s="45"/>
      <c r="F25" s="45"/>
      <c r="G25" s="45"/>
      <c r="H25" s="46"/>
      <c r="I25" s="46"/>
    </row>
  </sheetData>
  <sortState xmlns:xlrd2="http://schemas.microsoft.com/office/spreadsheetml/2017/richdata2" ref="A4:I21">
    <sortCondition ref="C3:C21"/>
  </sortState>
  <mergeCells count="1">
    <mergeCell ref="A1:I1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I12"/>
  <sheetViews>
    <sheetView workbookViewId="0"/>
  </sheetViews>
  <sheetFormatPr defaultRowHeight="16.5"/>
  <cols>
    <col min="1" max="1" width="2" style="7" customWidth="1"/>
    <col min="2" max="2" width="13.875" style="7" bestFit="1" customWidth="1"/>
    <col min="3" max="4" width="11.125" style="7" bestFit="1" customWidth="1"/>
    <col min="5" max="5" width="12" style="7" customWidth="1"/>
    <col min="6" max="6" width="11.625" style="7" customWidth="1"/>
    <col min="7" max="7" width="12.25" style="7" customWidth="1"/>
    <col min="8" max="8" width="11.875" style="7" customWidth="1"/>
    <col min="9" max="9" width="11.125" style="7" bestFit="1" customWidth="1"/>
    <col min="10" max="16384" width="9" style="7"/>
  </cols>
  <sheetData>
    <row r="1" spans="2:9" ht="26.25">
      <c r="B1" s="34" t="s">
        <v>57</v>
      </c>
      <c r="C1" s="34"/>
      <c r="D1" s="34"/>
      <c r="E1" s="34"/>
      <c r="F1" s="34"/>
      <c r="G1" s="34"/>
      <c r="H1" s="34"/>
      <c r="I1" s="34"/>
    </row>
    <row r="2" spans="2:9">
      <c r="E2" s="1"/>
      <c r="F2" s="1"/>
      <c r="G2" s="1"/>
      <c r="H2" s="39">
        <v>45351</v>
      </c>
      <c r="I2" s="39"/>
    </row>
    <row r="3" spans="2:9">
      <c r="B3" s="2" t="s">
        <v>58</v>
      </c>
      <c r="C3" s="2" t="s">
        <v>59</v>
      </c>
      <c r="D3" s="2" t="s">
        <v>60</v>
      </c>
      <c r="E3" s="2" t="s">
        <v>61</v>
      </c>
      <c r="F3" s="2" t="s">
        <v>62</v>
      </c>
      <c r="G3" s="2" t="s">
        <v>63</v>
      </c>
      <c r="H3" s="2" t="s">
        <v>64</v>
      </c>
      <c r="I3" s="2" t="s">
        <v>65</v>
      </c>
    </row>
    <row r="4" spans="2:9">
      <c r="B4" s="2" t="s">
        <v>66</v>
      </c>
      <c r="C4" s="3">
        <v>123500</v>
      </c>
      <c r="D4" s="4">
        <f>C4*$C$12</f>
        <v>51870</v>
      </c>
      <c r="E4" s="4">
        <f>C4-D4</f>
        <v>71630</v>
      </c>
      <c r="F4" s="3">
        <v>6000</v>
      </c>
      <c r="G4" s="4">
        <f>E4-F4</f>
        <v>65630</v>
      </c>
      <c r="H4" s="4">
        <f>G4*$C$10</f>
        <v>15751.199999999999</v>
      </c>
      <c r="I4" s="4">
        <f>ROUND(G4-H4,-2)</f>
        <v>49900</v>
      </c>
    </row>
    <row r="5" spans="2:9">
      <c r="B5" s="2" t="s">
        <v>213</v>
      </c>
      <c r="C5" s="3">
        <f>C4*(1+$C$11)</f>
        <v>138653.38475471697</v>
      </c>
      <c r="D5" s="4">
        <f>C5*$C$12</f>
        <v>58234.421596981127</v>
      </c>
      <c r="E5" s="4">
        <f>C5-D5</f>
        <v>80418.963157735852</v>
      </c>
      <c r="F5" s="3">
        <v>6000</v>
      </c>
      <c r="G5" s="4">
        <f>E5-F5</f>
        <v>74418.963157735852</v>
      </c>
      <c r="H5" s="4">
        <f>G5*$C$10</f>
        <v>17860.551157856604</v>
      </c>
      <c r="I5" s="4">
        <f>ROUND(G5-H5,-2)</f>
        <v>56600</v>
      </c>
    </row>
    <row r="6" spans="2:9">
      <c r="B6" s="2" t="s">
        <v>214</v>
      </c>
      <c r="C6" s="3">
        <f>C5*(1+$C$11)</f>
        <v>155666.08181327596</v>
      </c>
      <c r="D6" s="4">
        <f>C6*$C$12</f>
        <v>65379.754361575899</v>
      </c>
      <c r="E6" s="4">
        <f>C6-D6</f>
        <v>90286.327451700054</v>
      </c>
      <c r="F6" s="3">
        <v>6000</v>
      </c>
      <c r="G6" s="4">
        <f>E6-F6</f>
        <v>84286.327451700054</v>
      </c>
      <c r="H6" s="4">
        <f>G6*$C$10</f>
        <v>20228.718588408014</v>
      </c>
      <c r="I6" s="4">
        <f>ROUND(G6-H6,-2)</f>
        <v>64100</v>
      </c>
    </row>
    <row r="7" spans="2:9">
      <c r="B7" s="2" t="s">
        <v>215</v>
      </c>
      <c r="C7" s="3">
        <f>C6*(1+$C$11)</f>
        <v>174766.22781308019</v>
      </c>
      <c r="D7" s="4">
        <f>C7*$C$12</f>
        <v>73401.815681493681</v>
      </c>
      <c r="E7" s="4">
        <f>C7-D7</f>
        <v>101364.4121315865</v>
      </c>
      <c r="F7" s="3">
        <v>6000</v>
      </c>
      <c r="G7" s="4">
        <f>E7-F7</f>
        <v>95364.412131586505</v>
      </c>
      <c r="H7" s="4">
        <f>G7*$C$10</f>
        <v>22887.458911580761</v>
      </c>
      <c r="I7" s="4">
        <f>ROUND(G7-H7,-2)</f>
        <v>72500</v>
      </c>
    </row>
    <row r="8" spans="2:9">
      <c r="B8" s="2" t="s">
        <v>216</v>
      </c>
      <c r="C8" s="3">
        <f>C7*(1+$C$11)</f>
        <v>196209.95163641722</v>
      </c>
      <c r="D8" s="4">
        <f>C8*$C$12</f>
        <v>82408.179687295225</v>
      </c>
      <c r="E8" s="4">
        <f>C8-D8</f>
        <v>113801.77194912199</v>
      </c>
      <c r="F8" s="3">
        <v>6000</v>
      </c>
      <c r="G8" s="4">
        <f>E8-F8</f>
        <v>107801.77194912199</v>
      </c>
      <c r="H8" s="4">
        <f>G8*$C$10</f>
        <v>25872.425267789276</v>
      </c>
      <c r="I8" s="4">
        <f>ROUND(G8-H8,-2)</f>
        <v>81900</v>
      </c>
    </row>
    <row r="9" spans="2:9">
      <c r="B9" s="2" t="s">
        <v>67</v>
      </c>
      <c r="C9" s="5">
        <f t="shared" ref="C9:I9" si="0">AVERAGE(C4:C8)</f>
        <v>157759.12920349807</v>
      </c>
      <c r="D9" s="5">
        <f t="shared" si="0"/>
        <v>66258.834265469195</v>
      </c>
      <c r="E9" s="5">
        <f t="shared" si="0"/>
        <v>91500.294938028877</v>
      </c>
      <c r="F9" s="5">
        <f t="shared" si="0"/>
        <v>6000</v>
      </c>
      <c r="G9" s="5">
        <f t="shared" si="0"/>
        <v>85500.294938028877</v>
      </c>
      <c r="H9" s="5">
        <f t="shared" si="0"/>
        <v>20520.070785126933</v>
      </c>
      <c r="I9" s="5">
        <f t="shared" si="0"/>
        <v>65000</v>
      </c>
    </row>
    <row r="10" spans="2:9">
      <c r="B10" s="2" t="s">
        <v>68</v>
      </c>
      <c r="C10" s="6">
        <v>0.24</v>
      </c>
      <c r="D10" s="1"/>
      <c r="E10" s="1"/>
      <c r="F10" s="1"/>
      <c r="G10" s="1"/>
      <c r="H10" s="1"/>
      <c r="I10" s="1"/>
    </row>
    <row r="11" spans="2:9">
      <c r="B11" s="2" t="s">
        <v>69</v>
      </c>
      <c r="C11" s="13">
        <v>0.1226994716981132</v>
      </c>
      <c r="D11" s="1"/>
    </row>
    <row r="12" spans="2:9">
      <c r="B12" s="2" t="s">
        <v>70</v>
      </c>
      <c r="C12" s="14">
        <v>0.42</v>
      </c>
      <c r="D12" s="1"/>
    </row>
  </sheetData>
  <mergeCells count="2">
    <mergeCell ref="B1:I1"/>
    <mergeCell ref="H2:I2"/>
  </mergeCells>
  <phoneticPr fontId="2" type="noConversion"/>
  <printOptions headings="1" gridLines="1"/>
  <pageMargins left="0.75" right="0.75" top="1" bottom="1" header="0.5" footer="0.5"/>
  <pageSetup paperSize="9" orientation="landscape" r:id="rId1"/>
  <headerFooter alignWithMargins="0">
    <oddFooter>&amp;C&amp;F&amp;A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9"/>
  <sheetViews>
    <sheetView workbookViewId="0"/>
  </sheetViews>
  <sheetFormatPr defaultRowHeight="16.5"/>
  <cols>
    <col min="1" max="1" width="13" style="7" bestFit="1" customWidth="1"/>
    <col min="2" max="4" width="11.125" style="7" bestFit="1" customWidth="1"/>
    <col min="5" max="5" width="17" style="7" bestFit="1" customWidth="1"/>
    <col min="6" max="6" width="16.875" style="7" bestFit="1" customWidth="1"/>
    <col min="7" max="7" width="9" style="7"/>
    <col min="8" max="8" width="10.625" style="7" customWidth="1"/>
    <col min="9" max="16384" width="9" style="7"/>
  </cols>
  <sheetData>
    <row r="1" spans="1:6">
      <c r="A1" s="7" t="s">
        <v>224</v>
      </c>
    </row>
    <row r="2" spans="1:6">
      <c r="A2" s="2" t="s">
        <v>45</v>
      </c>
      <c r="B2" s="2" t="s">
        <v>6</v>
      </c>
      <c r="C2" s="2" t="s">
        <v>46</v>
      </c>
      <c r="D2" s="2" t="s">
        <v>47</v>
      </c>
      <c r="E2" s="2" t="s">
        <v>49</v>
      </c>
      <c r="F2" s="2" t="s">
        <v>48</v>
      </c>
    </row>
    <row r="3" spans="1:6">
      <c r="A3" s="2" t="s">
        <v>50</v>
      </c>
      <c r="B3" s="2">
        <v>37000</v>
      </c>
      <c r="C3" s="2">
        <v>100</v>
      </c>
      <c r="D3" s="27">
        <v>0.03</v>
      </c>
      <c r="E3" s="11">
        <v>3700000</v>
      </c>
      <c r="F3" s="11">
        <v>4440000</v>
      </c>
    </row>
    <row r="4" spans="1:6">
      <c r="A4" s="2" t="s">
        <v>51</v>
      </c>
      <c r="B4" s="2">
        <v>4500</v>
      </c>
      <c r="C4" s="2">
        <v>1200</v>
      </c>
      <c r="D4" s="27">
        <v>0.02</v>
      </c>
      <c r="E4" s="11">
        <v>5400000</v>
      </c>
      <c r="F4" s="11">
        <v>6480000</v>
      </c>
    </row>
    <row r="5" spans="1:6">
      <c r="A5" s="2" t="s">
        <v>52</v>
      </c>
      <c r="B5" s="2">
        <v>6500</v>
      </c>
      <c r="C5" s="2">
        <v>2200</v>
      </c>
      <c r="D5" s="27">
        <v>0.05</v>
      </c>
      <c r="E5" s="11">
        <v>14300000</v>
      </c>
      <c r="F5" s="11">
        <v>17160000</v>
      </c>
    </row>
    <row r="6" spans="1:6">
      <c r="A6" s="2" t="s">
        <v>53</v>
      </c>
      <c r="B6" s="2">
        <v>32500</v>
      </c>
      <c r="C6" s="2">
        <v>450</v>
      </c>
      <c r="D6" s="27">
        <v>7.0000000000000007E-2</v>
      </c>
      <c r="E6" s="11">
        <v>14625000</v>
      </c>
      <c r="F6" s="11">
        <v>17550000</v>
      </c>
    </row>
    <row r="7" spans="1:6">
      <c r="A7" s="2" t="s">
        <v>54</v>
      </c>
      <c r="B7" s="2">
        <v>6600</v>
      </c>
      <c r="C7" s="2">
        <v>660</v>
      </c>
      <c r="D7" s="27">
        <v>0.05</v>
      </c>
      <c r="E7" s="11">
        <v>4356000</v>
      </c>
      <c r="F7" s="11">
        <v>5227200</v>
      </c>
    </row>
    <row r="8" spans="1:6">
      <c r="A8" s="2" t="s">
        <v>55</v>
      </c>
      <c r="B8" s="2">
        <v>78000</v>
      </c>
      <c r="C8" s="2">
        <v>89</v>
      </c>
      <c r="D8" s="27">
        <v>0.05</v>
      </c>
      <c r="E8" s="11">
        <v>6942000</v>
      </c>
      <c r="F8" s="11">
        <v>8330400</v>
      </c>
    </row>
    <row r="9" spans="1:6">
      <c r="A9" s="40" t="s">
        <v>56</v>
      </c>
      <c r="B9" s="41"/>
      <c r="C9" s="41"/>
      <c r="D9" s="42"/>
      <c r="E9" s="12">
        <f>SUM(E3:E8)</f>
        <v>49323000</v>
      </c>
      <c r="F9" s="12">
        <f>SUM(F3:F8)</f>
        <v>59187600</v>
      </c>
    </row>
  </sheetData>
  <mergeCells count="1">
    <mergeCell ref="A9:D9"/>
  </mergeCells>
  <phoneticPr fontId="2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5"/>
  <sheetViews>
    <sheetView workbookViewId="0"/>
  </sheetViews>
  <sheetFormatPr defaultRowHeight="16.5"/>
  <cols>
    <col min="1" max="1" width="13" style="7" bestFit="1" customWidth="1"/>
    <col min="2" max="4" width="11.125" style="7" bestFit="1" customWidth="1"/>
    <col min="5" max="5" width="17" style="7" bestFit="1" customWidth="1"/>
    <col min="6" max="6" width="16.875" style="7" bestFit="1" customWidth="1"/>
    <col min="7" max="16384" width="9" style="7"/>
  </cols>
  <sheetData>
    <row r="1" spans="1:6">
      <c r="A1" s="7" t="s">
        <v>276</v>
      </c>
      <c r="E1" s="8"/>
      <c r="F1" s="8"/>
    </row>
    <row r="2" spans="1:6">
      <c r="E2" s="8" t="s">
        <v>217</v>
      </c>
      <c r="F2" s="8" t="s">
        <v>218</v>
      </c>
    </row>
    <row r="3" spans="1:6">
      <c r="A3" s="2" t="s">
        <v>219</v>
      </c>
      <c r="B3" s="2" t="s">
        <v>220</v>
      </c>
      <c r="C3" s="2" t="s">
        <v>66</v>
      </c>
      <c r="D3" s="2" t="s">
        <v>221</v>
      </c>
      <c r="E3" s="2" t="s">
        <v>229</v>
      </c>
      <c r="F3" s="2" t="s">
        <v>228</v>
      </c>
    </row>
    <row r="4" spans="1:6">
      <c r="A4" s="2" t="s">
        <v>222</v>
      </c>
      <c r="B4" s="9">
        <v>3550</v>
      </c>
      <c r="C4" s="9">
        <v>5626</v>
      </c>
      <c r="D4" s="9">
        <v>5606</v>
      </c>
      <c r="E4" s="9">
        <v>4695</v>
      </c>
      <c r="F4" s="9">
        <v>5291</v>
      </c>
    </row>
    <row r="5" spans="1:6">
      <c r="A5" s="2" t="s">
        <v>223</v>
      </c>
      <c r="B5" s="10">
        <v>132.4</v>
      </c>
      <c r="C5" s="10">
        <v>128.1</v>
      </c>
      <c r="D5" s="10">
        <v>119.6</v>
      </c>
      <c r="E5" s="10">
        <v>106.5</v>
      </c>
      <c r="F5" s="10">
        <v>88.9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>길벗R&amp;D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조준현</cp:lastModifiedBy>
  <dcterms:created xsi:type="dcterms:W3CDTF">2011-06-14T11:33:52Z</dcterms:created>
  <dcterms:modified xsi:type="dcterms:W3CDTF">2023-10-10T11:25:56Z</dcterms:modified>
</cp:coreProperties>
</file>